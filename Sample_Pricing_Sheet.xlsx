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5d1caca3d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Summary" sheetId="1" r:id="R6aae0ca4c1344a1c"/>
    <x:sheet xmlns:r="http://schemas.openxmlformats.org/officeDocument/2006/relationships" name="Quote Builder" sheetId="2" r:id="R5dcef409e43c42c7"/>
    <x:sheet xmlns:r="http://schemas.openxmlformats.org/officeDocument/2006/relationships" name="Pricing Cases" sheetId="3" r:id="R376bd4f33f31481c"/>
    <x:sheet xmlns:r="http://schemas.openxmlformats.org/officeDocument/2006/relationships" name="Portfolio Metrics" sheetId="4" r:id="R960e5d8a34904008"/>
    <x:sheet xmlns:r="http://schemas.openxmlformats.org/officeDocument/2006/relationships" name="Assumptions" sheetId="5" r:id="Rd35b315b289d4373"/>
    <x:sheet xmlns:r="http://schemas.openxmlformats.org/officeDocument/2006/relationships" name="Quote Log" sheetId="6" r:id="Rb944f960fb1b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($#,##0);-"/>
    <x:numFmt numFmtId="201" formatCode="#,##0.0"/>
    <x:numFmt numFmtId="202" formatCode="0.0%"/>
    <x:numFmt numFmtId="203" formatCode="#,##0;[Red](#,##0);-"/>
    <x:numFmt numFmtId="204" formatCode="$#,##0.0,,&quot;M&quot;;[Red]($#,##0.0,,&quot;M&quot;);-"/>
    <x:numFmt numFmtId="205" formatCode="mm/dd/yy hh:mm"/>
  </x:numFmts>
  <x:fonts count="13">
    <x:font>
      <x:sz val="11"/>
      <x:name val="Carlito"/>
    </x:font>
    <x:font>
      <x:sz val="10"/>
      <x:color rgb="FF202124"/>
      <x:name val="Arial"/>
    </x:font>
    <x:font>
      <x:b/>
      <x:sz val="14"/>
      <x:color rgb="FF172B4D"/>
      <x:name val="Arial"/>
    </x:font>
    <x:font>
      <x:i/>
      <x:sz val="9"/>
      <x:color rgb="FF6B7280"/>
      <x:name val="Arial"/>
    </x:font>
    <x:font>
      <x:b/>
      <x:sz val="10"/>
      <x:color rgb="FF172B4D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b/>
      <x:sz val="10"/>
      <x:color rgb="FF008000"/>
      <x:name val="Arial"/>
    </x:font>
    <x:font>
      <x:sz val="10"/>
      <x:color rgb="FF008000"/>
      <x:name val="Arial"/>
    </x:font>
    <x:font>
      <x:b/>
      <x:sz val="10"/>
      <x:color rgb="FF202124"/>
      <x:name val="Arial"/>
    </x:font>
    <x:font>
      <x:b/>
      <x:sz val="9"/>
      <x:color rgb="FF6B7280"/>
      <x:name val="Arial"/>
    </x:font>
    <x:font>
      <x:b/>
      <x:sz val="12"/>
      <x:color rgb="FF172B4D"/>
      <x:name val="Arial"/>
    </x:font>
    <x:font>
      <x:b/>
      <x:sz val="11"/>
      <x:color rgb="FF20212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2B4D"/>
      </x:patternFill>
    </x:fill>
    <x:fill>
      <x:patternFill patternType="solid">
        <x:fgColor rgb="FFFFF2CC"/>
      </x:patternFill>
    </x:fill>
    <x:fill>
      <x:patternFill patternType="solid">
        <x:fgColor rgb="FFEDF5FB"/>
      </x:patternFill>
    </x:fill>
  </x:fills>
  <x:borders count="18">
    <x:border/>
    <x:border>
      <x:bottom style="thin">
        <x:color rgb="FF172B4D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2E5E9"/>
      </x:right>
      <x:bottom style="thin">
        <x:color rgb="FFE2E5E9"/>
      </x:bottom>
    </x:border>
    <x:border>
      <x:left style="thin">
        <x:color rgb="FFE2E5E9"/>
      </x:left>
      <x:right style="thin">
        <x:color rgb="FFE2E5E9"/>
      </x:right>
      <x:bottom style="thin">
        <x:color rgb="FFE2E5E9"/>
      </x:bottom>
    </x:border>
    <x:border>
      <x:left style="thin">
        <x:color rgb="FFE2E5E9"/>
      </x:left>
      <x:bottom style="thin">
        <x:color rgb="FFE2E5E9"/>
      </x:bottom>
    </x:border>
    <x:border>
      <x:right style="thin">
        <x:color rgb="FFE2E5E9"/>
      </x:right>
      <x:top style="thin">
        <x:color rgb="FFE2E5E9"/>
      </x:top>
      <x:bottom style="thin">
        <x:color rgb="FFE2E5E9"/>
      </x:bottom>
    </x:border>
    <x:border>
      <x:left style="thin">
        <x:color rgb="FFE2E5E9"/>
      </x:left>
      <x:right style="thin">
        <x:color rgb="FFE2E5E9"/>
      </x:right>
      <x:top style="thin">
        <x:color rgb="FFE2E5E9"/>
      </x:top>
      <x:bottom style="thin">
        <x:color rgb="FFE2E5E9"/>
      </x:bottom>
    </x:border>
    <x:border>
      <x:left style="thin">
        <x:color rgb="FFE2E5E9"/>
      </x:left>
      <x:top style="thin">
        <x:color rgb="FFE2E5E9"/>
      </x:top>
      <x:bottom style="thin">
        <x:color rgb="FFE2E5E9"/>
      </x:bottom>
    </x:border>
    <x:border>
      <x:right style="thin">
        <x:color rgb="FFE2E5E9"/>
      </x:right>
      <x:top style="thin">
        <x:color rgb="FFE2E5E9"/>
      </x:top>
    </x:border>
    <x:border>
      <x:left style="thin">
        <x:color rgb="FFE2E5E9"/>
      </x:left>
      <x:right style="thin">
        <x:color rgb="FFE2E5E9"/>
      </x:right>
      <x:top style="thin">
        <x:color rgb="FFE2E5E9"/>
      </x:top>
    </x:border>
    <x:border>
      <x:left style="thin">
        <x:color rgb="FFE2E5E9"/>
      </x:left>
      <x:top style="thin">
        <x:color rgb="FFE2E5E9"/>
      </x:top>
    </x:border>
    <x:border>
      <x:right style="thin">
        <x:color rgb="FFE2E5E9"/>
      </x:right>
    </x:border>
    <x:border>
      <x:left style="thin">
        <x:color rgb="FFE2E5E9"/>
      </x:left>
      <x:right style="thin">
        <x:color rgb="FFE2E5E9"/>
      </x:right>
    </x:border>
    <x:border>
      <x:left style="thin">
        <x:color rgb="FFE2E5E9"/>
      </x:left>
    </x:border>
  </x:borders>
  <x:cellStyleXfs count="1">
    <x:xf numFmtId="0" fontId="0" fillId="0" borderId="0"/>
  </x:cellStyleXfs>
  <x:cellXfs count="1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2" fontId="6" fillId="0" borderId="10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201" fontId="6" fillId="0" borderId="13" xfId="0" applyNumberFormat="1" applyFont="1" applyFill="1" applyBorder="1" applyAlignment="1">
      <x:alignment vertical="center"/>
    </x:xf>
    <x:xf numFmtId="202" fontId="6" fillId="0" borderId="13" xfId="0" applyNumberFormat="1" applyFont="1" applyFill="1" applyBorder="1" applyAlignment="1">
      <x:alignment vertical="center"/>
    </x:xf>
    <x:xf numFmtId="202" fontId="6" fillId="0" borderId="14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202" fontId="1" fillId="4" borderId="7" xfId="0" applyNumberFormat="1" applyFont="1" applyFill="1" applyBorder="1" applyAlignment="1">
      <x:alignment vertical="center"/>
    </x:xf>
    <x:xf numFmtId="202" fontId="1" fillId="4" borderId="10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202" fontId="6" fillId="4" borderId="7" xfId="0" applyNumberFormat="1" applyFont="1" applyFill="1" applyBorder="1" applyAlignment="1">
      <x:alignment vertical="center"/>
    </x:xf>
    <x:xf numFmtId="202" fontId="6" fillId="4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2" fontId="6" fillId="4" borderId="13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0" fontId="8" fillId="0" borderId="7" xfId="0" applyNumberFormat="1" applyFont="1" applyFill="1" applyBorder="1" applyAlignment="1">
      <x:alignment vertical="center"/>
    </x:xf>
    <x:xf numFmtId="200" fontId="6" fillId="4" borderId="7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200" fontId="9" fillId="0" borderId="11" xfId="0" applyNumberFormat="1" applyFont="1" applyFill="1" applyBorder="1" applyAlignment="1">
      <x:alignment vertical="center"/>
    </x:xf>
    <x:xf numFmtId="201" fontId="8" fillId="0" borderId="10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9" fillId="0" borderId="11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202" fontId="9" fillId="0" borderId="11" xfId="0" applyNumberFormat="1" applyFont="1" applyFill="1" applyBorder="1" applyAlignment="1">
      <x:alignment vertical="center"/>
    </x:xf>
    <x:xf numFmtId="202" fontId="8" fillId="0" borderId="13" xfId="0" applyNumberFormat="1" applyFont="1" applyFill="1" applyBorder="1" applyAlignment="1">
      <x:alignment vertical="center"/>
    </x:xf>
    <x:xf numFmtId="202" fontId="9" fillId="0" borderId="14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200" fontId="1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/>
    </x:xf>
    <x:xf numFmtId="202" fontId="11" fillId="0" borderId="10" xfId="0" applyNumberFormat="1" applyFont="1" applyFill="1" applyBorder="1" applyAlignment="1">
      <x:alignment vertical="center"/>
    </x:xf>
    <x:xf numFmtId="203" fontId="11" fillId="0" borderId="11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/>
    </x:xf>
    <x:xf numFmtId="0" fontId="11" fillId="0" borderId="11" xfId="0" applyNumberFormat="1" applyFont="1" applyFill="1" applyBorder="1" applyAlignment="1">
      <x:alignment vertical="center"/>
    </x:xf>
    <x:xf numFmtId="200" fontId="11" fillId="0" borderId="11" xfId="0" applyNumberFormat="1" applyFont="1" applyFill="1" applyBorder="1" applyAlignment="1">
      <x:alignment vertical="center"/>
    </x:xf>
    <x:xf numFmtId="202" fontId="11" fillId="0" borderId="13" xfId="0" applyNumberFormat="1" applyFont="1" applyFill="1" applyBorder="1" applyAlignment="1">
      <x:alignment vertical="center"/>
    </x:xf>
    <x:xf numFmtId="0" fontId="11" fillId="0" borderId="13" xfId="0" applyNumberFormat="1" applyFont="1" applyFill="1" applyBorder="1" applyAlignment="1">
      <x:alignment vertical="center"/>
    </x:xf>
    <x:xf numFmtId="200" fontId="11" fillId="0" borderId="13" xfId="0" applyNumberFormat="1" applyFont="1" applyFill="1" applyBorder="1" applyAlignment="1">
      <x:alignment vertical="center"/>
    </x:xf>
    <x:xf numFmtId="0" fontId="11" fillId="0" borderId="14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204" fontId="11" fillId="0" borderId="1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2" fontId="11" fillId="0" borderId="14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200" fontId="1" fillId="0" borderId="16" xfId="0" applyNumberFormat="1" applyFont="1" applyFill="1" applyBorder="1" applyAlignment="1">
      <x:alignment vertical="center"/>
    </x:xf>
    <x:xf numFmtId="202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4f626c5494165" /><Relationship Type="http://schemas.openxmlformats.org/officeDocument/2006/relationships/theme" Target="/xl/theme/theme1.xml" Id="R80253229741040dc" /><Relationship Type="http://schemas.openxmlformats.org/officeDocument/2006/relationships/sharedStrings" Target="/xl/sharedStrings.xml" Id="R030f75b7b4294e05" /><Relationship Type="http://schemas.openxmlformats.org/officeDocument/2006/relationships/worksheet" Target="/xl/worksheets/sheet1.xml" Id="R6aae0ca4c1344a1c" /><Relationship Type="http://schemas.openxmlformats.org/officeDocument/2006/relationships/worksheet" Target="/xl/worksheets/sheet2.xml" Id="R5dcef409e43c42c7" /><Relationship Type="http://schemas.openxmlformats.org/officeDocument/2006/relationships/worksheet" Target="/xl/worksheets/sheet3.xml" Id="R376bd4f33f31481c" /><Relationship Type="http://schemas.openxmlformats.org/officeDocument/2006/relationships/worksheet" Target="/xl/worksheets/sheet4.xml" Id="R960e5d8a34904008" /><Relationship Type="http://schemas.openxmlformats.org/officeDocument/2006/relationships/worksheet" Target="/xl/worksheets/sheet5.xml" Id="Rd35b315b289d4373" /><Relationship Type="http://schemas.openxmlformats.org/officeDocument/2006/relationships/worksheet" Target="/xl/worksheets/sheet6.xml" Id="Rb944f960fb1b47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B4D"/>
  </x:sheetPr>
  <x:sheetViews>
    <x:sheetView showGridLines="0" workbookViewId="0"/>
  </x:sheetViews>
  <x:sheetFormatPr defaultRowHeight="15"/>
  <x:cols>
    <x:col min="3" max="3" width="26" hidden="0" customWidth="1"/>
    <x:col min="4" max="4" width="18" hidden="0" customWidth="1"/>
    <x:col min="5" max="5" width="22" hidden="0" customWidth="1"/>
    <x:col min="6" max="6" width="18" hidden="0" customWidth="1"/>
    <x:col min="7" max="7" width="22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C2" s="3" t="str">
        <x:v>Sample pricing sheet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C4" s="5" t="str">
        <x:v>Synthetic interview model. Use the Quote Builder for deal design and Portfolio Metrics for pricing performance.</x:v>
      </x:c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C6" s="9" t="str">
        <x:v>Active quote</x:v>
      </x:c>
      <x:c r="D6" s="10"/>
      <x:c r="E6" s="10"/>
      <x:c r="F6" s="10"/>
      <x:c r="G6" s="10"/>
      <x:c r="H6" s="10"/>
      <x:c r="I6" s="10"/>
      <x:c r="J6" s="10"/>
      <x:c r="K6" s="10"/>
      <x:c r="L6" s="11"/>
    </x:row>
    <x:row r="7">
      <x:c r="C7" s="113" t="str">
        <x:v>Customer</x:v>
      </x:c>
      <x:c r="D7" s="114"/>
      <x:c r="E7" s="114" t="str">
        <x:v>Segment</x:v>
      </x:c>
      <x:c r="F7" s="114"/>
      <x:c r="G7" s="114" t="str">
        <x:v>Package</x:v>
      </x:c>
      <x:c r="H7" s="114"/>
      <x:c r="I7" s="114" t="str">
        <x:v>Net recurring ACV</x:v>
      </x:c>
      <x:c r="J7" s="114"/>
      <x:c r="K7" s="114" t="str">
        <x:v>Modeled contract value</x:v>
      </x:c>
      <x:c r="L7" s="115"/>
    </x:row>
    <x:row r="8">
      <x:c r="C8" s="26"/>
      <x:c r="D8" s="117" t="str">
        <x:f>'Quote Builder'!D8</x:f>
        <x:v>Example Customer</x:v>
      </x:c>
      <x:c r="E8" s="117"/>
      <x:c r="F8" s="117" t="str">
        <x:f>'Quote Builder'!D9</x:f>
        <x:v>Enterprise</x:v>
      </x:c>
      <x:c r="G8" s="117"/>
      <x:c r="H8" s="117" t="str">
        <x:f>'Quote Builder'!D10</x:f>
        <x:v>Core</x:v>
      </x:c>
      <x:c r="I8" s="117"/>
      <x:c r="J8" s="116" t="n">
        <x:f>'Quote Builder'!D40</x:f>
        <x:v>351900</x:v>
      </x:c>
      <x:c r="K8" s="117"/>
      <x:c r="L8" s="128" t="n">
        <x:f>'Quote Builder'!D49</x:f>
        <x:v>1161281.25</x:v>
      </x:c>
    </x:row>
    <x:row r="9">
      <x:c r="C9" s="120" t="str">
        <x:v>Discount</x:v>
      </x:c>
      <x:c r="D9" s="117"/>
      <x:c r="E9" s="117" t="str">
        <x:v>Gross margin</x:v>
      </x:c>
      <x:c r="F9" s="117"/>
      <x:c r="G9" s="117" t="str">
        <x:v>Expected contract value</x:v>
      </x:c>
      <x:c r="H9" s="117"/>
      <x:c r="I9" s="117" t="str">
        <x:v>Realized price / usage</x:v>
      </x:c>
      <x:c r="J9" s="117"/>
      <x:c r="K9" s="117" t="str">
        <x:v>Approval status</x:v>
      </x:c>
      <x:c r="L9" s="121"/>
    </x:row>
    <x:row r="10">
      <x:c r="C10" s="32"/>
      <x:c r="D10" s="123" t="n">
        <x:f>'Quote Builder'!D16</x:f>
        <x:v>0.15</x:v>
      </x:c>
      <x:c r="E10" s="123"/>
      <x:c r="F10" s="123" t="n">
        <x:f>'Quote Builder'!D46</x:f>
        <x:v>0.7879533867443554</x:v>
      </x:c>
      <x:c r="G10" s="124"/>
      <x:c r="H10" s="125" t="n">
        <x:f>'Quote Builder'!D50</x:f>
        <x:v>719994.375</x:v>
      </x:c>
      <x:c r="I10" s="125"/>
      <x:c r="J10" s="125" t="n">
        <x:f>'Quote Builder'!D51</x:f>
        <x:v>6398.181818181818</x:v>
      </x:c>
      <x:c r="K10" s="124"/>
      <x:c r="L10" s="126" t="str">
        <x:f>'Quote Builder'!D54</x:f>
        <x:v>Within guardrails</x:v>
      </x:c>
    </x:row>
    <x:row r="11"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C12" s="130" t="str">
        <x:v>Recommended action</x:v>
      </x:c>
      <x:c r="D12" s="130"/>
      <x:c r="E12" s="130"/>
      <x:c r="F12" s="130"/>
      <x:c r="G12" s="130"/>
      <x:c r="H12" s="130"/>
      <x:c r="I12" s="130"/>
      <x:c r="J12" s="130"/>
      <x:c r="K12" s="2"/>
      <x:c r="L12" s="2"/>
    </x:row>
    <x:row r="13">
      <x:c r="C13" s="131" t="str">
        <x:f>IF(L10="Within guardrails","Advance the quote and log the approved commercial structure.","Resolve the deal desk action before approval.")</x:f>
        <x:v>Advance the quote and log the approved commercial structure.</x:v>
      </x:c>
      <x:c r="D13" s="131"/>
      <x:c r="E13" s="131"/>
      <x:c r="F13" s="131"/>
      <x:c r="G13" s="131"/>
      <x:c r="H13" s="131"/>
      <x:c r="I13" s="131"/>
      <x:c r="J13" s="131"/>
      <x:c r="K13" s="2"/>
      <x:c r="L13" s="2"/>
    </x:row>
    <x:row r="14">
      <x:c r="C14" s="5" t="str">
        <x:v>Pricing logic</x:v>
      </x:c>
      <x:c r="D14" s="5" t="str">
        <x:v>Protect gross-margin floors, use expected value for exceptions, and trade discounts for term, commitment, or prepay.</x:v>
      </x:c>
      <x:c r="E14" s="5"/>
      <x:c r="F14" s="5"/>
      <x:c r="G14" s="5"/>
      <x:c r="H14" s="5"/>
      <x:c r="I14" s="5"/>
      <x:c r="J14" s="5"/>
      <x:c r="K14" s="2"/>
      <x:c r="L14" s="2"/>
    </x:row>
    <x:row r="15"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C17" s="9" t="str">
        <x:v>Portfolio view</x:v>
      </x:c>
      <x:c r="D17" s="10"/>
      <x:c r="E17" s="10"/>
      <x:c r="F17" s="10"/>
      <x:c r="G17" s="10"/>
      <x:c r="H17" s="10"/>
      <x:c r="I17" s="10"/>
      <x:c r="J17" s="10"/>
      <x:c r="K17" s="10"/>
      <x:c r="L17" s="11"/>
    </x:row>
    <x:row r="18">
      <x:c r="C18" s="113" t="str">
        <x:v>Total ARR</x:v>
      </x:c>
      <x:c r="D18" s="114"/>
      <x:c r="E18" s="114" t="str">
        <x:v>Average active ACV</x:v>
      </x:c>
      <x:c r="F18" s="114"/>
      <x:c r="G18" s="114" t="str">
        <x:v>Weighted discount</x:v>
      </x:c>
      <x:c r="H18" s="114"/>
      <x:c r="I18" s="114" t="str">
        <x:v>Win rate</x:v>
      </x:c>
      <x:c r="J18" s="114"/>
      <x:c r="K18" s="114" t="str">
        <x:v>Average sales cycle</x:v>
      </x:c>
      <x:c r="L18" s="115"/>
    </x:row>
    <x:row r="19">
      <x:c r="C19" s="26"/>
      <x:c r="D19" s="116" t="n">
        <x:f>'Portfolio Metrics'!D8</x:f>
        <x:v>3552000</x:v>
      </x:c>
      <x:c r="E19" s="116"/>
      <x:c r="F19" s="116" t="n">
        <x:f>'Portfolio Metrics'!F8</x:f>
        <x:v>394666.6666666667</x:v>
      </x:c>
      <x:c r="G19" s="117"/>
      <x:c r="H19" s="118" t="n">
        <x:f>'Portfolio Metrics'!H8</x:f>
        <x:v>0.10606060606060606</x:v>
      </x:c>
      <x:c r="I19" s="118"/>
      <x:c r="J19" s="118" t="n">
        <x:f>'Portfolio Metrics'!J8</x:f>
        <x:v>0.625</x:v>
      </x:c>
      <x:c r="K19" s="117"/>
      <x:c r="L19" s="121" t="n">
        <x:f>'Portfolio Metrics'!L8</x:f>
        <x:v>91.6</x:v>
      </x:c>
    </x:row>
    <x:row r="20">
      <x:c r="C20" s="120" t="str">
        <x:v>Renewal rate</x:v>
      </x:c>
      <x:c r="D20" s="117"/>
      <x:c r="E20" s="117" t="str">
        <x:v>NRR</x:v>
      </x:c>
      <x:c r="F20" s="117"/>
      <x:c r="G20" s="117" t="str">
        <x:v>Usage growth</x:v>
      </x:c>
      <x:c r="H20" s="117"/>
      <x:c r="I20" s="117" t="str">
        <x:v>Gross margin</x:v>
      </x:c>
      <x:c r="J20" s="117"/>
      <x:c r="K20" s="117" t="str">
        <x:v>Multi-product penetration</x:v>
      </x:c>
      <x:c r="L20" s="121"/>
    </x:row>
    <x:row r="21">
      <x:c r="C21" s="32"/>
      <x:c r="D21" s="123" t="n">
        <x:f>'Portfolio Metrics'!D10</x:f>
        <x:v>0.8888888888888888</x:v>
      </x:c>
      <x:c r="E21" s="123"/>
      <x:c r="F21" s="123" t="n">
        <x:f>'Portfolio Metrics'!F10</x:f>
        <x:v>1.050887573964497</x:v>
      </x:c>
      <x:c r="G21" s="123"/>
      <x:c r="H21" s="123" t="n">
        <x:f>'Portfolio Metrics'!H10</x:f>
        <x:v>0.10491803278688527</x:v>
      </x:c>
      <x:c r="I21" s="123"/>
      <x:c r="J21" s="123" t="n">
        <x:f>'Portfolio Metrics'!J10</x:f>
        <x:v>0.7811671087533156</x:v>
      </x:c>
      <x:c r="K21" s="123"/>
      <x:c r="L21" s="132" t="n">
        <x:f>'Portfolio Metrics'!D12</x:f>
        <x:v>0.8888888888888888</x:v>
      </x:c>
    </x:row>
    <x:row r="22"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C24" s="9" t="str">
        <x:v>Pricing case outcomes</x:v>
      </x:c>
      <x:c r="D24" s="10"/>
      <x:c r="E24" s="10"/>
      <x:c r="F24" s="10"/>
      <x:c r="G24" s="10"/>
      <x:c r="H24" s="10"/>
      <x:c r="I24" s="10"/>
      <x:c r="J24" s="10"/>
      <x:c r="K24" s="10"/>
      <x:c r="L24" s="11"/>
    </x:row>
    <x:row r="25">
      <x:c r="C25" s="16" t="str">
        <x:v>Case</x:v>
      </x:c>
      <x:c r="D25" s="16" t="str">
        <x:v>Proposed ACV</x:v>
      </x:c>
      <x:c r="E25" s="16" t="str">
        <x:v>ACV change</x:v>
      </x:c>
      <x:c r="F25" s="16" t="str">
        <x:v>Expected value change</x:v>
      </x:c>
      <x:c r="G25" s="16" t="str">
        <x:v>Gross margin</x:v>
      </x:c>
      <x:c r="H25" s="16" t="str">
        <x:v>Recommended tactic</x:v>
      </x:c>
      <x:c r="I25" s="2"/>
      <x:c r="J25" s="2"/>
      <x:c r="K25" s="2"/>
      <x:c r="L25" s="2"/>
    </x:row>
    <x:row r="26" ht="36" customHeight="1">
      <x:c r="C26" s="20" t="str">
        <x:f>'Pricing Cases'!C8</x:f>
        <x:v>1. Seat to hybrid</x:v>
      </x:c>
      <x:c r="D26" s="22" t="n">
        <x:f>'Pricing Cases'!G8</x:f>
        <x:v>516000</x:v>
      </x:c>
      <x:c r="E26" s="24" t="n">
        <x:f>'Pricing Cases'!H8</x:f>
        <x:v>0.22857142857142865</x:v>
      </x:c>
      <x:c r="F26" s="22" t="n">
        <x:f>'Pricing Cases'!M8</x:f>
        <x:v>90480</x:v>
      </x:c>
      <x:c r="G26" s="24" t="n">
        <x:f>'Pricing Cases'!N8</x:f>
        <x:v>0.82</x:v>
      </x:c>
      <x:c r="H26" s="106" t="str">
        <x:f>'Pricing Cases'!O8</x:f>
        <x:v>Annual platform fee plus committed usage with capped overage</x:v>
      </x:c>
      <x:c r="I26" s="2"/>
      <x:c r="J26" s="2"/>
      <x:c r="K26" s="2"/>
      <x:c r="L26" s="2"/>
    </x:row>
    <x:row r="27" ht="36" customHeight="1">
      <x:c r="C27" s="26" t="str">
        <x:f>'Pricing Cases'!C9</x:f>
        <x:v>2A. Public-sector packaging</x:v>
      </x:c>
      <x:c r="D27" s="28" t="n">
        <x:f>'Pricing Cases'!G9</x:f>
        <x:v>720000</x:v>
      </x:c>
      <x:c r="E27" s="30" t="n">
        <x:f>'Pricing Cases'!H9</x:f>
        <x:v>0.19999999999999996</x:v>
      </x:c>
      <x:c r="F27" s="28" t="n">
        <x:f>'Pricing Cases'!M9</x:f>
        <x:v>123600</x:v>
      </x:c>
      <x:c r="G27" s="30" t="n">
        <x:f>'Pricing Cases'!N9</x:f>
        <x:v>0.8</x:v>
      </x:c>
      <x:c r="H27" s="103" t="str">
        <x:f>'Pricing Cases'!O9</x:f>
        <x:v>Workflow package with user seats, capacity, and services</x:v>
      </x:c>
      <x:c r="I27" s="2"/>
      <x:c r="J27" s="2"/>
      <x:c r="K27" s="2"/>
      <x:c r="L27" s="2"/>
    </x:row>
    <x:row r="28" ht="36" customHeight="1">
      <x:c r="C28" s="26" t="str">
        <x:f>'Pricing Cases'!C10</x:f>
        <x:v>2B. Enterprise packaging</x:v>
      </x:c>
      <x:c r="D28" s="28" t="n">
        <x:f>'Pricing Cases'!G10</x:f>
        <x:v>450000</x:v>
      </x:c>
      <x:c r="E28" s="30" t="n">
        <x:f>'Pricing Cases'!H10</x:f>
        <x:v>0.25</x:v>
      </x:c>
      <x:c r="F28" s="28" t="n">
        <x:f>'Pricing Cases'!M10</x:f>
        <x:v>106200</x:v>
      </x:c>
      <x:c r="G28" s="30" t="n">
        <x:f>'Pricing Cases'!N10</x:f>
        <x:v>0.79</x:v>
      </x:c>
      <x:c r="H28" s="103" t="str">
        <x:f>'Pricing Cases'!O10</x:f>
        <x:v>Core package aligned to usage volume and governance needs</x:v>
      </x:c>
      <x:c r="I28" s="2"/>
      <x:c r="J28" s="2"/>
      <x:c r="K28" s="2"/>
      <x:c r="L28" s="2"/>
    </x:row>
    <x:row r="29" ht="36" customHeight="1">
      <x:c r="C29" s="26" t="str">
        <x:f>'Pricing Cases'!C11</x:f>
        <x:v>3. Discount governance</x:v>
      </x:c>
      <x:c r="D29" s="28" t="n">
        <x:f>'Pricing Cases'!G11</x:f>
        <x:v>400000</x:v>
      </x:c>
      <x:c r="E29" s="30" t="n">
        <x:f>'Pricing Cases'!H11</x:f>
        <x:v>-0.19999999999999996</x:v>
      </x:c>
      <x:c r="F29" s="28" t="n">
        <x:f>'Pricing Cases'!M11</x:f>
        <x:v>60000</x:v>
      </x:c>
      <x:c r="G29" s="30" t="n">
        <x:f>'Pricing Cases'!N11</x:f>
        <x:v>0.75</x:v>
      </x:c>
      <x:c r="H29" s="103" t="str">
        <x:f>'Pricing Cases'!O11</x:f>
        <x:v>Trade 20% discount for 3-year term, committed usage, and annual prepay</x:v>
      </x:c>
      <x:c r="I29" s="2"/>
      <x:c r="J29" s="2"/>
      <x:c r="K29" s="2"/>
      <x:c r="L29" s="2"/>
    </x:row>
    <x:row r="30" ht="36" customHeight="1">
      <x:c r="C30" s="32" t="str">
        <x:f>'Pricing Cases'!C12</x:f>
        <x:v>4. Legacy renewal</x:v>
      </x:c>
      <x:c r="D30" s="34" t="n">
        <x:f>'Pricing Cases'!G12</x:f>
        <x:v>336000</x:v>
      </x:c>
      <x:c r="E30" s="36" t="n">
        <x:f>'Pricing Cases'!H12</x:f>
        <x:v>0.19999999999999996</x:v>
      </x:c>
      <x:c r="F30" s="34" t="n">
        <x:f>'Pricing Cases'!M12</x:f>
        <x:v>29680</x:v>
      </x:c>
      <x:c r="G30" s="36" t="n">
        <x:f>'Pricing Cases'!N12</x:f>
        <x:v>0.78</x:v>
      </x:c>
      <x:c r="H30" s="104" t="str">
        <x:f>'Pricing Cases'!O12</x:f>
        <x:v>Stage the increase now; tie the second phase to usage and adoption</x:v>
      </x:c>
      <x:c r="I30" s="2"/>
      <x:c r="J30" s="2"/>
      <x:c r="K30" s="2"/>
      <x:c r="L30" s="2"/>
    </x:row>
    <x:row r="31"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</x:sheetData>
  <x:conditionalFormatting sqref="L10:L10">
    <x:cfRule type="expression" dxfId="3" priority="1">
      <x:formula>$L$10="Within guardrails"</x:formula>
    </x:cfRule>
    <x:cfRule type="expression" dxfId="4" priority="2">
      <x:formula>$L$10&lt;&gt;"Within guardrails"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6FE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3" max="3" width="34" hidden="0" customWidth="1"/>
    <x:col min="4" max="4" width="22" hidden="0" customWidth="1"/>
    <x:col min="5" max="5" width="19" hidden="0" customWidth="1"/>
    <x:col min="6" max="6" width="46" hidden="0" customWidth="1"/>
    <x:col min="7" max="7" width="4" hidden="0" customWidth="1"/>
    <x:col min="8" max="8" width="4" hidden="0" customWidth="1"/>
  </x:cols>
  <x:sheetData>
    <x:row r="1">
      <x:c r="C1" s="2"/>
      <x:c r="D1" s="2"/>
      <x:c r="E1" s="2"/>
      <x:c r="F1" s="2"/>
      <x:c r="G1" s="2"/>
      <x:c r="H1" s="2"/>
    </x:row>
    <x:row r="2">
      <x:c r="C2" s="3" t="str">
        <x:v>Quote builder</x:v>
      </x:c>
      <x:c r="D2" s="2"/>
      <x:c r="E2" s="2"/>
      <x:c r="F2" s="2"/>
      <x:c r="G2" s="2"/>
      <x:c r="H2" s="2"/>
    </x:row>
    <x:row r="3">
      <x:c r="C3" s="4"/>
      <x:c r="D3" s="4"/>
      <x:c r="E3" s="4"/>
      <x:c r="F3" s="4"/>
      <x:c r="G3" s="4"/>
      <x:c r="H3" s="4"/>
    </x:row>
    <x:row r="4">
      <x:c r="C4" s="5" t="str">
        <x:v>Change yellow inputs. Package defaults, quote economics, and guardrail status recalculate automatically.</x:v>
      </x:c>
      <x:c r="D4" s="5"/>
      <x:c r="E4" s="5"/>
      <x:c r="F4" s="5"/>
      <x:c r="G4" s="5"/>
      <x:c r="H4" s="5"/>
    </x:row>
    <x:row r="5">
      <x:c r="C5" s="2"/>
      <x:c r="D5" s="2"/>
      <x:c r="E5" s="2"/>
      <x:c r="F5" s="2"/>
      <x:c r="G5" s="2"/>
      <x:c r="H5" s="2"/>
    </x:row>
    <x:row r="6">
      <x:c r="C6" s="9" t="str">
        <x:v>Deal inputs</x:v>
      </x:c>
      <x:c r="D6" s="10"/>
      <x:c r="E6" s="10"/>
      <x:c r="F6" s="11"/>
      <x:c r="G6" s="2"/>
      <x:c r="H6" s="2"/>
    </x:row>
    <x:row r="7">
      <x:c r="C7" s="16" t="str">
        <x:v>Input</x:v>
      </x:c>
      <x:c r="D7" s="16" t="str">
        <x:v>Value</x:v>
      </x:c>
      <x:c r="E7" s="16" t="str">
        <x:v>Unit</x:v>
      </x:c>
      <x:c r="F7" s="16" t="str">
        <x:v>Why it matters</x:v>
      </x:c>
      <x:c r="G7" s="2"/>
      <x:c r="H7" s="2"/>
    </x:row>
    <x:row r="8">
      <x:c r="C8" s="20" t="str">
        <x:v>Customer</x:v>
      </x:c>
      <x:c r="D8" s="68" t="str">
        <x:v>Example Customer</x:v>
      </x:c>
      <x:c r="E8" s="21" t="str">
        <x:v>name</x:v>
      </x:c>
      <x:c r="F8" s="56" t="str">
        <x:v>Identifies the quote</x:v>
      </x:c>
      <x:c r="G8" s="2"/>
      <x:c r="H8" s="2"/>
    </x:row>
    <x:row r="9">
      <x:c r="C9" s="26" t="str">
        <x:v>Segment</x:v>
      </x:c>
      <x:c r="D9" s="65" t="str">
        <x:v>Enterprise</x:v>
      </x:c>
      <x:c r="E9" s="27" t="str">
        <x:v>segment</x:v>
      </x:c>
      <x:c r="F9" s="57" t="str">
        <x:v>Sets value metric and package defaults</x:v>
      </x:c>
      <x:c r="G9" s="2"/>
      <x:c r="H9" s="2"/>
    </x:row>
    <x:row r="10">
      <x:c r="C10" s="26" t="str">
        <x:v>Package</x:v>
      </x:c>
      <x:c r="D10" s="65" t="str">
        <x:v>Core</x:v>
      </x:c>
      <x:c r="E10" s="27" t="str">
        <x:v>package</x:v>
      </x:c>
      <x:c r="F10" s="57" t="str">
        <x:v>Sets platform, seat, usage, and cost defaults</x:v>
      </x:c>
      <x:c r="G10" s="2"/>
      <x:c r="H10" s="2"/>
    </x:row>
    <x:row r="11">
      <x:c r="C11" s="26" t="str">
        <x:v>Segment / package check</x:v>
      </x:c>
      <x:c r="D11" s="77" t="str">
        <x:f>IF(COUNTIFS(Assumptions!$C$8:$C$13,$D$9&amp;"|"&amp;$D$10)=1,"Valid","Select a supported segment / package pair")</x:f>
        <x:v>Valid</x:v>
      </x:c>
      <x:c r="E11" s="27" t="str">
        <x:v>status</x:v>
      </x:c>
      <x:c r="F11" s="57" t="str">
        <x:v>Prevents an unsupported combination</x:v>
      </x:c>
      <x:c r="G11" s="2"/>
      <x:c r="H11" s="2"/>
    </x:row>
    <x:row r="12">
      <x:c r="C12" s="26" t="str">
        <x:v>Term</x:v>
      </x:c>
      <x:c r="D12" s="65" t="n">
        <x:v>36</x:v>
      </x:c>
      <x:c r="E12" s="27" t="str">
        <x:v>months</x:v>
      </x:c>
      <x:c r="F12" s="57" t="str">
        <x:v>Supports discount-for-commitment trades</x:v>
      </x:c>
      <x:c r="G12" s="2"/>
      <x:c r="H12" s="2"/>
    </x:row>
    <x:row r="13">
      <x:c r="C13" s="26" t="str">
        <x:v>Payment cadence</x:v>
      </x:c>
      <x:c r="D13" s="65" t="str">
        <x:v>Annual prepay</x:v>
      </x:c>
      <x:c r="E13" s="27" t="str">
        <x:v>cadence</x:v>
      </x:c>
      <x:c r="F13" s="57" t="str">
        <x:v>Affects cash and discount governance</x:v>
      </x:c>
      <x:c r="G13" s="2"/>
      <x:c r="H13" s="2"/>
    </x:row>
    <x:row r="14">
      <x:c r="C14" s="26" t="str">
        <x:v>Seats</x:v>
      </x:c>
      <x:c r="D14" s="65" t="n">
        <x:v>18</x:v>
      </x:c>
      <x:c r="E14" s="27" t="str">
        <x:v>seats</x:v>
      </x:c>
      <x:c r="F14" s="57" t="str">
        <x:v>Captures user or analyst team scale</x:v>
      </x:c>
      <x:c r="G14" s="2"/>
      <x:c r="H14" s="2"/>
    </x:row>
    <x:row r="15">
      <x:c r="C15" s="26" t="str">
        <x:v>Projected annual usage</x:v>
      </x:c>
      <x:c r="D15" s="65" t="n">
        <x:v>55</x:v>
      </x:c>
      <x:c r="E15" s="27" t="str">
        <x:v>million units</x:v>
      </x:c>
      <x:c r="F15" s="57" t="str">
        <x:v>Illustrative transactions, API calls, records, or other governed units</x:v>
      </x:c>
      <x:c r="G15" s="2"/>
      <x:c r="H15" s="2"/>
    </x:row>
    <x:row r="16">
      <x:c r="C16" s="26" t="str">
        <x:v>Requested recurring discount</x:v>
      </x:c>
      <x:c r="D16" s="64" t="n">
        <x:v>0.15</x:v>
      </x:c>
      <x:c r="E16" s="27" t="str">
        <x:v>%</x:v>
      </x:c>
      <x:c r="F16" s="57" t="str">
        <x:v>Measured against recurring list ACV</x:v>
      </x:c>
      <x:c r="G16" s="2"/>
      <x:c r="H16" s="2"/>
    </x:row>
    <x:row r="17">
      <x:c r="C17" s="26" t="str">
        <x:v>Implementation fee</x:v>
      </x:c>
      <x:c r="D17" s="78" t="n">
        <x:v>35000</x:v>
      </x:c>
      <x:c r="E17" s="27" t="str">
        <x:v>USD</x:v>
      </x:c>
      <x:c r="F17" s="57" t="str">
        <x:v>One-time onboarding</x:v>
      </x:c>
      <x:c r="G17" s="2"/>
      <x:c r="H17" s="2"/>
    </x:row>
    <x:row r="18">
      <x:c r="C18" s="26" t="str">
        <x:v>Training and services fee</x:v>
      </x:c>
      <x:c r="D18" s="78" t="n">
        <x:v>25000</x:v>
      </x:c>
      <x:c r="E18" s="27" t="str">
        <x:v>USD</x:v>
      </x:c>
      <x:c r="F18" s="57" t="str">
        <x:v>One-time enablement</x:v>
      </x:c>
      <x:c r="G18" s="2"/>
      <x:c r="H18" s="2"/>
    </x:row>
    <x:row r="19">
      <x:c r="C19" s="26" t="str">
        <x:v>Win probability after quote</x:v>
      </x:c>
      <x:c r="D19" s="64" t="n">
        <x:v>0.62</x:v>
      </x:c>
      <x:c r="E19" s="27" t="str">
        <x:v>%</x:v>
      </x:c>
      <x:c r="F19" s="57" t="str">
        <x:v>Supports expected-value pricing decisions</x:v>
      </x:c>
      <x:c r="G19" s="2"/>
      <x:c r="H19" s="2"/>
    </x:row>
    <x:row r="20">
      <x:c r="C20" s="26" t="str">
        <x:v>Annual usage growth</x:v>
      </x:c>
      <x:c r="D20" s="64" t="n">
        <x:v>0.25</x:v>
      </x:c>
      <x:c r="E20" s="27" t="str">
        <x:v>%</x:v>
      </x:c>
      <x:c r="F20" s="57" t="str">
        <x:v>Drives future overage revenue</x:v>
      </x:c>
      <x:c r="G20" s="2"/>
      <x:c r="H20" s="2"/>
    </x:row>
    <x:row r="21" ht="32" customHeight="1">
      <x:c r="C21" s="26" t="str">
        <x:v>Renewal probability</x:v>
      </x:c>
      <x:c r="D21" s="64" t="n">
        <x:v>0.9</x:v>
      </x:c>
      <x:c r="E21" s="27" t="str">
        <x:v>%</x:v>
      </x:c>
      <x:c r="F21" s="103" t="str">
        <x:v>Supports retention and renewal-value proxies</x:v>
      </x:c>
      <x:c r="G21" s="2"/>
      <x:c r="H21" s="2"/>
    </x:row>
    <x:row r="22" ht="32" customHeight="1">
      <x:c r="C22" s="32" t="str">
        <x:v>Expansion rate</x:v>
      </x:c>
      <x:c r="D22" s="79" t="n">
        <x:v>0.12</x:v>
      </x:c>
      <x:c r="E22" s="33" t="str">
        <x:v>%</x:v>
      </x:c>
      <x:c r="F22" s="104" t="str">
        <x:v>Supports retention and renewal-value proxies</x:v>
      </x:c>
      <x:c r="G22" s="2"/>
      <x:c r="H22" s="2"/>
    </x:row>
    <x:row r="23">
      <x:c r="C23" s="9" t="str">
        <x:v>Package defaults and overrides</x:v>
      </x:c>
      <x:c r="D23" s="10"/>
      <x:c r="E23" s="10"/>
      <x:c r="F23" s="11"/>
      <x:c r="G23" s="2"/>
      <x:c r="H23" s="2"/>
    </x:row>
    <x:row r="24">
      <x:c r="C24" s="16" t="str">
        <x:v>Pricing driver</x:v>
      </x:c>
      <x:c r="D24" s="16" t="str">
        <x:v>Default</x:v>
      </x:c>
      <x:c r="E24" s="16" t="str">
        <x:v>Override</x:v>
      </x:c>
      <x:c r="F24" s="16" t="str">
        <x:v>Active value</x:v>
      </x:c>
      <x:c r="G24" s="2"/>
      <x:c r="H24" s="2"/>
    </x:row>
    <x:row r="25">
      <x:c r="C25" s="20" t="str">
        <x:v>Annual platform fee</x:v>
      </x:c>
      <x:c r="D25" s="90" t="n">
        <x:f>IF($D$11="Valid",INDEX(Assumptions!$F$8:$F$13,MATCH($D$9&amp;"|"&amp;$D$10,Assumptions!$C$8:$C$13,0)),"n.a.")</x:f>
        <x:v>240000</x:v>
      </x:c>
      <x:c r="E25" s="91"/>
      <x:c r="F25" s="92" t="n">
        <x:f>IF(E25="",D25,E25)</x:f>
        <x:v>240000</x:v>
      </x:c>
      <x:c r="G25" s="2"/>
      <x:c r="H25" s="2"/>
    </x:row>
    <x:row r="26">
      <x:c r="C26" s="26" t="str">
        <x:v>Annual fee per seat</x:v>
      </x:c>
      <x:c r="D26" s="93" t="n">
        <x:f>IF($D$11="Valid",INDEX(Assumptions!$G$8:$G$13,MATCH($D$9&amp;"|"&amp;$D$10,Assumptions!$C$8:$C$13,0)),"n.a.")</x:f>
        <x:v>8000</x:v>
      </x:c>
      <x:c r="E26" s="78"/>
      <x:c r="F26" s="94" t="n">
        <x:f>IF(E26="",D26,E26)</x:f>
        <x:v>8000</x:v>
      </x:c>
      <x:c r="G26" s="2"/>
      <x:c r="H26" s="2"/>
    </x:row>
    <x:row r="27">
      <x:c r="C27" s="26" t="str">
        <x:v>Included usage units (M)</x:v>
      </x:c>
      <x:c r="D27" s="95" t="n">
        <x:f>IF($D$11="Valid",INDEX(Assumptions!$H$8:$H$13,MATCH($D$9&amp;"|"&amp;$D$10,Assumptions!$C$8:$C$13,0)),"n.a.")</x:f>
        <x:v>30</x:v>
      </x:c>
      <x:c r="E27" s="96"/>
      <x:c r="F27" s="97" t="n">
        <x:f>IF(E27="",D27,E27)</x:f>
        <x:v>30</x:v>
      </x:c>
      <x:c r="G27" s="2"/>
      <x:c r="H27" s="2"/>
    </x:row>
    <x:row r="28">
      <x:c r="C28" s="26" t="str">
        <x:v>Overage per usage unit (M)</x:v>
      </x:c>
      <x:c r="D28" s="93" t="n">
        <x:f>IF($D$11="Valid",INDEX(Assumptions!$I$8:$I$13,MATCH($D$9&amp;"|"&amp;$D$10,Assumptions!$C$8:$C$13,0)),"n.a.")</x:f>
        <x:v>1200</x:v>
      </x:c>
      <x:c r="E28" s="78"/>
      <x:c r="F28" s="94" t="n">
        <x:f>IF(E28="",D28,E28)</x:f>
        <x:v>1200</x:v>
      </x:c>
      <x:c r="G28" s="2"/>
      <x:c r="H28" s="2"/>
    </x:row>
    <x:row r="29">
      <x:c r="C29" s="26" t="str">
        <x:v>Delivery COGS</x:v>
      </x:c>
      <x:c r="D29" s="98" t="n">
        <x:f>IF($D$11="Valid",INDEX(Assumptions!$J$8:$J$13,MATCH($D$9&amp;"|"&amp;$D$10,Assumptions!$C$8:$C$13,0)),"n.a.")</x:f>
        <x:v>0.18</x:v>
      </x:c>
      <x:c r="E29" s="64"/>
      <x:c r="F29" s="99" t="n">
        <x:f>IF(E29="",D29,E29)</x:f>
        <x:v>0.18</x:v>
      </x:c>
      <x:c r="G29" s="2"/>
      <x:c r="H29" s="2"/>
    </x:row>
    <x:row r="30">
      <x:c r="C30" s="32" t="str">
        <x:v>Baseline win probability</x:v>
      </x:c>
      <x:c r="D30" s="100" t="n">
        <x:f>IF($D$11="Valid",INDEX(Assumptions!$K$8:$K$13,MATCH($D$9&amp;"|"&amp;$D$10,Assumptions!$C$8:$C$13,0)),"n.a.")</x:f>
        <x:v>0.45</x:v>
      </x:c>
      <x:c r="E30" s="79"/>
      <x:c r="F30" s="101" t="n">
        <x:f>IF(E30="",D30,E30)</x:f>
        <x:v>0.45</x:v>
      </x:c>
      <x:c r="G30" s="2"/>
      <x:c r="H30" s="2"/>
    </x:row>
    <x:row r="31">
      <x:c r="C31" s="2"/>
      <x:c r="D31" s="2"/>
      <x:c r="E31" s="2"/>
      <x:c r="F31" s="2"/>
      <x:c r="G31" s="2"/>
      <x:c r="H31" s="2"/>
    </x:row>
    <x:row r="32">
      <x:c r="C32" s="9" t="str">
        <x:v>Quote economics</x:v>
      </x:c>
      <x:c r="D32" s="10"/>
      <x:c r="E32" s="10"/>
      <x:c r="F32" s="11"/>
      <x:c r="G32" s="2"/>
      <x:c r="H32" s="2"/>
    </x:row>
    <x:row r="33">
      <x:c r="C33" s="16" t="str">
        <x:v>Metric</x:v>
      </x:c>
      <x:c r="D33" s="16" t="str">
        <x:v>Result</x:v>
      </x:c>
      <x:c r="E33" s="16" t="str">
        <x:v>Unit</x:v>
      </x:c>
      <x:c r="F33" s="16" t="str">
        <x:v>Interpretation</x:v>
      </x:c>
      <x:c r="G33" s="2"/>
      <x:c r="H33" s="2"/>
    </x:row>
    <x:row r="34">
      <x:c r="C34" s="20" t="str">
        <x:v>Platform revenue</x:v>
      </x:c>
      <x:c r="D34" s="22" t="n">
        <x:f>IF($D$11&lt;&gt;"Valid","n.a.",F25)</x:f>
        <x:v>240000</x:v>
      </x:c>
      <x:c r="E34" s="21" t="str">
        <x:v>USD / year</x:v>
      </x:c>
      <x:c r="F34" s="56" t="str">
        <x:v>Active annual platform fee</x:v>
      </x:c>
      <x:c r="G34" s="2"/>
      <x:c r="H34" s="2"/>
    </x:row>
    <x:row r="35">
      <x:c r="C35" s="26" t="str">
        <x:v>Seat revenue</x:v>
      </x:c>
      <x:c r="D35" s="28" t="n">
        <x:f>IF($D$11&lt;&gt;"Valid","n.a.",$D$14*F26)</x:f>
        <x:v>144000</x:v>
      </x:c>
      <x:c r="E35" s="27" t="str">
        <x:v>USD / year</x:v>
      </x:c>
      <x:c r="F35" s="57" t="str">
        <x:v>Seats multiplied by annual seat fee</x:v>
      </x:c>
      <x:c r="G35" s="2"/>
      <x:c r="H35" s="2"/>
    </x:row>
    <x:row r="36">
      <x:c r="C36" s="26" t="str">
        <x:v>Billable overage units</x:v>
      </x:c>
      <x:c r="D36" s="29" t="n">
        <x:f>IF($D$11&lt;&gt;"Valid","n.a.",MAX(0,$D$15-F27))</x:f>
        <x:v>25</x:v>
      </x:c>
      <x:c r="E36" s="27" t="str">
        <x:v>million units</x:v>
      </x:c>
      <x:c r="F36" s="57" t="str">
        <x:v>Usage above included commitment</x:v>
      </x:c>
      <x:c r="G36" s="2"/>
      <x:c r="H36" s="2"/>
    </x:row>
    <x:row r="37">
      <x:c r="C37" s="26" t="str">
        <x:v>Usage overage revenue</x:v>
      </x:c>
      <x:c r="D37" s="28" t="n">
        <x:f>IF($D$11&lt;&gt;"Valid","n.a.",D36*F28)</x:f>
        <x:v>30000</x:v>
      </x:c>
      <x:c r="E37" s="27" t="str">
        <x:v>USD / year</x:v>
      </x:c>
      <x:c r="F37" s="57" t="str">
        <x:v>Billable units multiplied by overage rate</x:v>
      </x:c>
      <x:c r="G37" s="2"/>
      <x:c r="H37" s="2"/>
    </x:row>
    <x:row r="38">
      <x:c r="C38" s="26" t="str">
        <x:v>Recurring list ACV</x:v>
      </x:c>
      <x:c r="D38" s="28" t="n">
        <x:f>IF($D$11&lt;&gt;"Valid","n.a.",SUM(D34:D35,D37))</x:f>
        <x:v>414000</x:v>
      </x:c>
      <x:c r="E38" s="27" t="str">
        <x:v>USD / year</x:v>
      </x:c>
      <x:c r="F38" s="57" t="str">
        <x:v>Platform, seats, and usage before discount</x:v>
      </x:c>
      <x:c r="G38" s="2"/>
      <x:c r="H38" s="2"/>
    </x:row>
    <x:row r="39">
      <x:c r="C39" s="26" t="str">
        <x:v>Discount amount</x:v>
      </x:c>
      <x:c r="D39" s="28" t="n">
        <x:f>IF($D$11&lt;&gt;"Valid","n.a.",-D38*$D$16)</x:f>
        <x:v>-62100</x:v>
      </x:c>
      <x:c r="E39" s="27" t="str">
        <x:v>USD / year</x:v>
      </x:c>
      <x:c r="F39" s="57" t="str">
        <x:v>Requested discount applied to recurring list ACV</x:v>
      </x:c>
      <x:c r="G39" s="2"/>
      <x:c r="H39" s="2"/>
    </x:row>
    <x:row r="40">
      <x:c r="C40" s="26" t="str">
        <x:v>Net recurring ACV</x:v>
      </x:c>
      <x:c r="D40" s="28" t="n">
        <x:f>IF($D$11&lt;&gt;"Valid","n.a.",SUM(D38:D39))</x:f>
        <x:v>351900</x:v>
      </x:c>
      <x:c r="E40" s="27" t="str">
        <x:v>USD / year</x:v>
      </x:c>
      <x:c r="F40" s="57" t="str">
        <x:v>Annual recurring revenue after discount</x:v>
      </x:c>
      <x:c r="G40" s="2"/>
      <x:c r="H40" s="2"/>
    </x:row>
    <x:row r="41">
      <x:c r="C41" s="26" t="str">
        <x:v>One-time services</x:v>
      </x:c>
      <x:c r="D41" s="28" t="n">
        <x:f>IF($D$11&lt;&gt;"Valid","n.a.",SUM($D$17:$D$18))</x:f>
        <x:v>60000</x:v>
      </x:c>
      <x:c r="E41" s="27" t="str">
        <x:v>USD</x:v>
      </x:c>
      <x:c r="F41" s="57" t="str">
        <x:v>Implementation, training, and services</x:v>
      </x:c>
      <x:c r="G41" s="2"/>
      <x:c r="H41" s="2"/>
    </x:row>
    <x:row r="42">
      <x:c r="C42" s="26" t="str">
        <x:v>Year 1 revenue</x:v>
      </x:c>
      <x:c r="D42" s="28" t="n">
        <x:f>IF($D$11&lt;&gt;"Valid","n.a.",SUM(D40:D41))</x:f>
        <x:v>411900</x:v>
      </x:c>
      <x:c r="E42" s="27" t="str">
        <x:v>USD</x:v>
      </x:c>
      <x:c r="F42" s="57" t="str">
        <x:v>Net recurring ACV plus one-time services</x:v>
      </x:c>
      <x:c r="G42" s="2"/>
      <x:c r="H42" s="2"/>
    </x:row>
    <x:row r="43">
      <x:c r="C43" s="26" t="str">
        <x:v>Recurring delivery cost</x:v>
      </x:c>
      <x:c r="D43" s="28" t="n">
        <x:f>IF($D$11&lt;&gt;"Valid","n.a.",D40*F29)</x:f>
        <x:v>63342</x:v>
      </x:c>
      <x:c r="E43" s="27" t="str">
        <x:v>USD</x:v>
      </x:c>
      <x:c r="F43" s="57" t="str">
        <x:v>Illustrative delivery cost on net recurring ACV</x:v>
      </x:c>
      <x:c r="G43" s="2"/>
      <x:c r="H43" s="2"/>
    </x:row>
    <x:row r="44">
      <x:c r="C44" s="26" t="str">
        <x:v>Services delivery cost</x:v>
      </x:c>
      <x:c r="D44" s="28" t="n">
        <x:f>IF($D$11&lt;&gt;"Valid","n.a.",D41*Assumptions!$D$23)</x:f>
        <x:v>24000</x:v>
      </x:c>
      <x:c r="E44" s="27" t="str">
        <x:v>USD</x:v>
      </x:c>
      <x:c r="F44" s="57" t="str">
        <x:v>Illustrative delivery cost on services</x:v>
      </x:c>
      <x:c r="G44" s="2"/>
      <x:c r="H44" s="2"/>
    </x:row>
    <x:row r="45">
      <x:c r="C45" s="26" t="str">
        <x:v>Year 1 gross profit</x:v>
      </x:c>
      <x:c r="D45" s="28" t="n">
        <x:f>IF($D$11&lt;&gt;"Valid","n.a.",D42-D43-D44)</x:f>
        <x:v>324558</x:v>
      </x:c>
      <x:c r="E45" s="27" t="str">
        <x:v>USD</x:v>
      </x:c>
      <x:c r="F45" s="57" t="str">
        <x:v>Revenue less delivery costs</x:v>
      </x:c>
      <x:c r="G45" s="2"/>
      <x:c r="H45" s="2"/>
    </x:row>
    <x:row r="46">
      <x:c r="C46" s="26" t="str">
        <x:v>Year 1 gross margin</x:v>
      </x:c>
      <x:c r="D46" s="30" t="n">
        <x:f>IF($D$11&lt;&gt;"Valid","n.a.",IF(D42=0,"n.a.",D45/D42))</x:f>
        <x:v>0.7879533867443554</x:v>
      </x:c>
      <x:c r="E46" s="27" t="str">
        <x:v>%</x:v>
      </x:c>
      <x:c r="F46" s="57" t="str">
        <x:v>Compared with target and floor guardrails</x:v>
      </x:c>
      <x:c r="G46" s="2"/>
      <x:c r="H46" s="2"/>
    </x:row>
    <x:row r="47">
      <x:c r="C47" s="26" t="str">
        <x:v>Year 2 recurring ACV</x:v>
      </x:c>
      <x:c r="D47" s="28" t="n">
        <x:f>IF($D$11&lt;&gt;"Valid","n.a.",(F25+($D$14*F26)+MAX(0,$D$15*(1+$D$20)-F27)*F28)*(1-$D$16))</x:f>
        <x:v>365925</x:v>
      </x:c>
      <x:c r="E47" s="27" t="str">
        <x:v>USD / year</x:v>
      </x:c>
      <x:c r="F47" s="57" t="str">
        <x:v>Usage growth applied to overage revenue</x:v>
      </x:c>
      <x:c r="G47" s="2"/>
      <x:c r="H47" s="2"/>
    </x:row>
    <x:row r="48">
      <x:c r="C48" s="26" t="str">
        <x:v>Year 3 recurring ACV</x:v>
      </x:c>
      <x:c r="D48" s="28" t="n">
        <x:f>IF($D$11&lt;&gt;"Valid","n.a.",(F25+($D$14*F26)+MAX(0,$D$15*(1+$D$20)^2-F27)*F28)*(1-$D$16))</x:f>
        <x:v>383456.25</x:v>
      </x:c>
      <x:c r="E48" s="27" t="str">
        <x:v>USD / year</x:v>
      </x:c>
      <x:c r="F48" s="57" t="str">
        <x:v>Second year of usage growth</x:v>
      </x:c>
      <x:c r="G48" s="2"/>
      <x:c r="H48" s="2"/>
    </x:row>
    <x:row r="49">
      <x:c r="C49" s="26" t="str">
        <x:v>Modeled contract value</x:v>
      </x:c>
      <x:c r="D49" s="28" t="n">
        <x:f>IF($D$11&lt;&gt;"Valid","n.a.",D41+D40+MIN(MAX($D$12-12,0),12)/12*D47+MIN(MAX($D$12-24,0),12)/12*D48)</x:f>
        <x:v>1161281.25</x:v>
      </x:c>
      <x:c r="E49" s="27" t="str">
        <x:v>USD</x:v>
      </x:c>
      <x:c r="F49" s="57" t="str">
        <x:v>Recurring value across term plus one-time services</x:v>
      </x:c>
      <x:c r="G49" s="2"/>
      <x:c r="H49" s="2"/>
    </x:row>
    <x:row r="50">
      <x:c r="C50" s="26" t="str">
        <x:v>Expected contract value</x:v>
      </x:c>
      <x:c r="D50" s="28" t="n">
        <x:f>IF($D$11&lt;&gt;"Valid","n.a.",D49*$D$19)</x:f>
        <x:v>719994.375</x:v>
      </x:c>
      <x:c r="E50" s="27" t="str">
        <x:v>USD</x:v>
      </x:c>
      <x:c r="F50" s="57" t="str">
        <x:v>Modeled contract value multiplied by win probability</x:v>
      </x:c>
      <x:c r="G50" s="2"/>
      <x:c r="H50" s="2"/>
    </x:row>
    <x:row r="51">
      <x:c r="C51" s="26" t="str">
        <x:v>Realized price per usage unit</x:v>
      </x:c>
      <x:c r="D51" s="28" t="n">
        <x:f>IF($D$11&lt;&gt;"Valid","n.a.",IF($D$15=0,"n.a.",D40/$D$15))</x:f>
        <x:v>6398.181818181818</x:v>
      </x:c>
      <x:c r="E51" s="27" t="str">
        <x:v>USD / million units</x:v>
      </x:c>
      <x:c r="F51" s="57" t="str">
        <x:v>Net recurring ACV divided by projected usage</x:v>
      </x:c>
      <x:c r="G51" s="2"/>
      <x:c r="H51" s="2"/>
    </x:row>
    <x:row r="52" ht="32" customHeight="1">
      <x:c r="C52" s="26" t="str">
        <x:v>Expected NRR proxy</x:v>
      </x:c>
      <x:c r="D52" s="30" t="n">
        <x:f>IF($D$11&lt;&gt;"Valid","n.a.",$D$21*(1+$D$22))</x:f>
        <x:v>1.0080000000000002</x:v>
      </x:c>
      <x:c r="E52" s="27" t="str">
        <x:v>%</x:v>
      </x:c>
      <x:c r="F52" s="103" t="str">
        <x:v>Renewal probability × (1 + expansion); illustrative, not observed cohort NRR</x:v>
      </x:c>
      <x:c r="G52" s="2"/>
      <x:c r="H52" s="2"/>
    </x:row>
    <x:row r="53" ht="32" customHeight="1">
      <x:c r="C53" s="26" t="str">
        <x:v>Renewal value proxy</x:v>
      </x:c>
      <x:c r="D53" s="28" t="n">
        <x:f>IF($D$11&lt;&gt;"Valid","n.a.",D40*(1+$D$22)*D46/(1-$D$21))</x:f>
        <x:v>3105544.924107794</x:v>
      </x:c>
      <x:c r="E53" s="27" t="str">
        <x:v>USD</x:v>
      </x:c>
      <x:c r="F53" s="103" t="str">
        <x:v>Simplified gross-profit continuation proxy; excludes CAC and discounting</x:v>
      </x:c>
      <x:c r="G53" s="2"/>
      <x:c r="H53" s="2"/>
    </x:row>
    <x:row r="54" ht="32" customHeight="1">
      <x:c r="C54" s="32" t="str">
        <x:v>Approval status</x:v>
      </x:c>
      <x:c r="D54" s="102" t="str">
        <x:f>IF($D$11&lt;&gt;"Valid","Select valid package",IF($D$16&gt;Assumptions!$D$17,"VP approval: discount above guardrail",IF(D46&lt;Assumptions!$D$19,"Finance review: margin below floor",IF(AND($D$16&gt;=Assumptions!$D$20,$D$12&lt;Assumptions!$D$21),"Trade discount for longer term",IF(AND($D$16&gt;=Assumptions!$D$20,$D$13&lt;&gt;Assumptions!$D$22),"Trade discount for annual prepay",IF(D46&lt;Assumptions!$D$18,"Review: margin below target","Within guardrails"))))))</x:f>
        <x:v>Within guardrails</x:v>
      </x:c>
      <x:c r="E54" s="33" t="str">
        <x:v>status</x:v>
      </x:c>
      <x:c r="F54" s="104" t="str">
        <x:v>Deal-desk action from discount, term, prepay, and margin guardrails</x:v>
      </x:c>
      <x:c r="G54" s="2"/>
      <x:c r="H54" s="2"/>
    </x:row>
    <x:row r="55">
      <x:c r="C55" s="2"/>
      <x:c r="D55" s="2"/>
      <x:c r="E55" s="2"/>
      <x:c r="F55" s="2"/>
      <x:c r="G55" s="2"/>
      <x:c r="H55" s="2"/>
    </x:row>
    <x:row r="56">
      <x:c r="C56" s="2"/>
      <x:c r="D56" s="2"/>
      <x:c r="E56" s="2"/>
      <x:c r="F56" s="2"/>
      <x:c r="G56" s="2"/>
      <x:c r="H56" s="2"/>
    </x:row>
  </x:sheetData>
  <x:conditionalFormatting sqref="D54:D54">
    <x:cfRule type="expression" dxfId="0" priority="1">
      <x:formula>$D$54="Within guardrails"</x:formula>
    </x:cfRule>
    <x:cfRule type="expression" dxfId="1" priority="2">
      <x:formula>$D$54&lt;&gt;"Within guardrails"</x:formula>
    </x:cfRule>
  </x:conditionalFormatting>
  <x:dataValidations count="9">
    <x:dataValidation type="list" sqref="D9">
      <x:formula1>"Enterprise,Public Sector,Digital Native"</x:formula1>
    </x:dataValidation>
    <x:dataValidation type="list" sqref="D10">
      <x:formula1>"Core,Workflow,Enterprise"</x:formula1>
    </x:dataValidation>
    <x:dataValidation type="whole" operator="between" sqref="D12">
      <x:formula1>12</x:formula1>
      <x:formula2>36</x:formula2>
    </x:dataValidation>
    <x:dataValidation type="list" sqref="D13">
      <x:formula1>"Annual prepay,Quarterly,Monthly"</x:formula1>
    </x:dataValidation>
    <x:dataValidation type="whole" operator="between" sqref="D14">
      <x:formula1>1</x:formula1>
      <x:formula2>500</x:formula2>
    </x:dataValidation>
    <x:dataValidation type="decimal" operator="between" sqref="D15">
      <x:formula1>0</x:formula1>
      <x:formula2>10000</x:formula2>
    </x:dataValidation>
    <x:dataValidation type="decimal" operator="between" sqref="D16">
      <x:formula1>0</x:formula1>
      <x:formula2>0.5</x:formula2>
    </x:dataValidation>
    <x:dataValidation type="decimal" operator="greaterThanOrEqual" sqref="D17:D18">
      <x:formula1>0</x:formula1>
    </x:dataValidation>
    <x:dataValidation type="decimal" operator="between" sqref="D19:D22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D9EE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3" max="3" width="24" hidden="0" customWidth="1"/>
    <x:col min="4" max="4" width="22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4" hidden="0" customWidth="1"/>
    <x:col min="15" max="15" width="44" hidden="0" customWidth="1"/>
    <x:col min="16" max="16" width="2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C2" s="3" t="str">
        <x:v>Pricing cases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C4" s="5" t="str">
        <x:v>Five modeled examples cover four reusable pricing situations: hybrid pricing, segment packaging, discount governance, and staged legacy renewal increases.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C6" s="9" t="str">
        <x:v>Expected-value comparison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1"/>
    </x:row>
    <x:row r="7">
      <x:c r="C7" s="16" t="str">
        <x:v>Case</x:v>
      </x:c>
      <x:c r="D7" s="16" t="str">
        <x:v>Example</x:v>
      </x:c>
      <x:c r="E7" s="16" t="str">
        <x:v>Segment</x:v>
      </x:c>
      <x:c r="F7" s="16" t="str">
        <x:v>Baseline ACV</x:v>
      </x:c>
      <x:c r="G7" s="16" t="str">
        <x:v>Proposed ACV</x:v>
      </x:c>
      <x:c r="H7" s="16" t="str">
        <x:v>ACV change</x:v>
      </x:c>
      <x:c r="I7" s="16" t="str">
        <x:v>Baseline probability</x:v>
      </x:c>
      <x:c r="J7" s="16" t="str">
        <x:v>Proposed probability</x:v>
      </x:c>
      <x:c r="K7" s="16" t="str">
        <x:v>Baseline expected value</x:v>
      </x:c>
      <x:c r="L7" s="16" t="str">
        <x:v>Proposed expected value</x:v>
      </x:c>
      <x:c r="M7" s="16" t="str">
        <x:v>Expected value change</x:v>
      </x:c>
      <x:c r="N7" s="16" t="str">
        <x:v>Proposed GM</x:v>
      </x:c>
      <x:c r="O7" s="16" t="str">
        <x:v>Recommended tactic</x:v>
      </x:c>
      <x:c r="P7" s="16" t="str">
        <x:v>Primary risk</x:v>
      </x:c>
    </x:row>
    <x:row r="8" ht="42" customHeight="1">
      <x:c r="C8" s="20" t="str">
        <x:v>1. Seat to hybrid</x:v>
      </x:c>
      <x:c r="D8" s="21" t="str">
        <x:v>Global Customer</x:v>
      </x:c>
      <x:c r="E8" s="21" t="str">
        <x:v>Digital Native</x:v>
      </x:c>
      <x:c r="F8" s="22" t="n">
        <x:v>420000</x:v>
      </x:c>
      <x:c r="G8" s="22" t="n">
        <x:v>516000</x:v>
      </x:c>
      <x:c r="H8" s="24" t="n">
        <x:f>G8/F8-1</x:f>
        <x:v>0.22857142857142865</x:v>
      </x:c>
      <x:c r="I8" s="24" t="n">
        <x:v>0.62</x:v>
      </x:c>
      <x:c r="J8" s="24" t="n">
        <x:v>0.68</x:v>
      </x:c>
      <x:c r="K8" s="22" t="n">
        <x:f>F8*I8</x:f>
        <x:v>260400</x:v>
      </x:c>
      <x:c r="L8" s="22" t="n">
        <x:f>G8*J8</x:f>
        <x:v>350880</x:v>
      </x:c>
      <x:c r="M8" s="22" t="n">
        <x:f>L8-K8</x:f>
        <x:v>90480</x:v>
      </x:c>
      <x:c r="N8" s="24" t="n">
        <x:v>0.82</x:v>
      </x:c>
      <x:c r="O8" s="69" t="str">
        <x:v>Annual platform fee plus committed usage with capped overage</x:v>
      </x:c>
      <x:c r="P8" s="106" t="str">
        <x:v>Customer budget volatility</x:v>
      </x:c>
    </x:row>
    <x:row r="9" ht="42" customHeight="1">
      <x:c r="C9" s="26" t="str">
        <x:v>2A. Public-sector packaging</x:v>
      </x:c>
      <x:c r="D9" s="27" t="str">
        <x:v>Public Agency</x:v>
      </x:c>
      <x:c r="E9" s="27" t="str">
        <x:v>Public Sector</x:v>
      </x:c>
      <x:c r="F9" s="28" t="n">
        <x:v>600000</x:v>
      </x:c>
      <x:c r="G9" s="28" t="n">
        <x:v>720000</x:v>
      </x:c>
      <x:c r="H9" s="30" t="n">
        <x:f>G9/F9-1</x:f>
        <x:v>0.19999999999999996</x:v>
      </x:c>
      <x:c r="I9" s="30" t="n">
        <x:v>0.55</x:v>
      </x:c>
      <x:c r="J9" s="30" t="n">
        <x:v>0.63</x:v>
      </x:c>
      <x:c r="K9" s="28" t="n">
        <x:f>F9*I9</x:f>
        <x:v>330000</x:v>
      </x:c>
      <x:c r="L9" s="28" t="n">
        <x:f>G9*J9</x:f>
        <x:v>453600</x:v>
      </x:c>
      <x:c r="M9" s="28" t="n">
        <x:f>L9-K9</x:f>
        <x:v>123600</x:v>
      </x:c>
      <x:c r="N9" s="30" t="n">
        <x:v>0.8</x:v>
      </x:c>
      <x:c r="O9" s="70" t="str">
        <x:v>Workflow package with user seats, capacity, and services</x:v>
      </x:c>
      <x:c r="P9" s="103" t="str">
        <x:v>Procurement cycle</x:v>
      </x:c>
    </x:row>
    <x:row r="10" ht="42" customHeight="1">
      <x:c r="C10" s="26" t="str">
        <x:v>2B. Enterprise packaging</x:v>
      </x:c>
      <x:c r="D10" s="27" t="str">
        <x:v>National Enterprise</x:v>
      </x:c>
      <x:c r="E10" s="27" t="str">
        <x:v>Enterprise</x:v>
      </x:c>
      <x:c r="F10" s="28" t="n">
        <x:v>360000</x:v>
      </x:c>
      <x:c r="G10" s="28" t="n">
        <x:v>450000</x:v>
      </x:c>
      <x:c r="H10" s="30" t="n">
        <x:f>G10/F10-1</x:f>
        <x:v>0.25</x:v>
      </x:c>
      <x:c r="I10" s="30" t="n">
        <x:v>0.58</x:v>
      </x:c>
      <x:c r="J10" s="30" t="n">
        <x:v>0.7</x:v>
      </x:c>
      <x:c r="K10" s="28" t="n">
        <x:f>F10*I10</x:f>
        <x:v>208800</x:v>
      </x:c>
      <x:c r="L10" s="28" t="n">
        <x:f>G10*J10</x:f>
        <x:v>315000</x:v>
      </x:c>
      <x:c r="M10" s="28" t="n">
        <x:f>L10-K10</x:f>
        <x:v>106200</x:v>
      </x:c>
      <x:c r="N10" s="30" t="n">
        <x:v>0.79</x:v>
      </x:c>
      <x:c r="O10" s="70" t="str">
        <x:v>Core package aligned to usage volume and governance needs</x:v>
      </x:c>
      <x:c r="P10" s="103" t="str">
        <x:v>Adoption pace</x:v>
      </x:c>
    </x:row>
    <x:row r="11" ht="42" customHeight="1">
      <x:c r="C11" s="26" t="str">
        <x:v>3. Discount governance</x:v>
      </x:c>
      <x:c r="D11" s="27" t="str">
        <x:v>Regional Enterprise</x:v>
      </x:c>
      <x:c r="E11" s="27" t="str">
        <x:v>Enterprise</x:v>
      </x:c>
      <x:c r="F11" s="28" t="n">
        <x:v>500000</x:v>
      </x:c>
      <x:c r="G11" s="28" t="n">
        <x:v>400000</x:v>
      </x:c>
      <x:c r="H11" s="30" t="n">
        <x:f>G11/F11-1</x:f>
        <x:v>-0.19999999999999996</x:v>
      </x:c>
      <x:c r="I11" s="30" t="n">
        <x:v>0.4</x:v>
      </x:c>
      <x:c r="J11" s="30" t="n">
        <x:v>0.65</x:v>
      </x:c>
      <x:c r="K11" s="28" t="n">
        <x:f>F11*I11</x:f>
        <x:v>200000</x:v>
      </x:c>
      <x:c r="L11" s="28" t="n">
        <x:f>G11*J11</x:f>
        <x:v>260000</x:v>
      </x:c>
      <x:c r="M11" s="28" t="n">
        <x:f>L11-K11</x:f>
        <x:v>60000</x:v>
      </x:c>
      <x:c r="N11" s="30" t="n">
        <x:v>0.75</x:v>
      </x:c>
      <x:c r="O11" s="70" t="str">
        <x:v>Trade 20% discount for 3-year term, committed usage, and annual prepay</x:v>
      </x:c>
      <x:c r="P11" s="103" t="str">
        <x:v>Discount precedent</x:v>
      </x:c>
    </x:row>
    <x:row r="12" ht="42" customHeight="1">
      <x:c r="C12" s="32" t="str">
        <x:v>4. Legacy renewal</x:v>
      </x:c>
      <x:c r="D12" s="33" t="str">
        <x:v>Legacy Customer</x:v>
      </x:c>
      <x:c r="E12" s="33" t="str">
        <x:v>Digital Native</x:v>
      </x:c>
      <x:c r="F12" s="34" t="n">
        <x:v>280000</x:v>
      </x:c>
      <x:c r="G12" s="34" t="n">
        <x:v>336000</x:v>
      </x:c>
      <x:c r="H12" s="36" t="n">
        <x:f>G12/F12-1</x:f>
        <x:v>0.19999999999999996</x:v>
      </x:c>
      <x:c r="I12" s="36" t="n">
        <x:v>0.95</x:v>
      </x:c>
      <x:c r="J12" s="36" t="n">
        <x:v>0.88</x:v>
      </x:c>
      <x:c r="K12" s="34" t="n">
        <x:f>F12*I12</x:f>
        <x:v>266000</x:v>
      </x:c>
      <x:c r="L12" s="34" t="n">
        <x:f>G12*J12</x:f>
        <x:v>295680</x:v>
      </x:c>
      <x:c r="M12" s="34" t="n">
        <x:f>L12-K12</x:f>
        <x:v>29680</x:v>
      </x:c>
      <x:c r="N12" s="36" t="n">
        <x:v>0.78</x:v>
      </x:c>
      <x:c r="O12" s="71" t="str">
        <x:v>Stage the increase now; tie the second phase to usage and adoption</x:v>
      </x:c>
      <x:c r="P12" s="104" t="str">
        <x:v>Renewal churn</x:v>
      </x:c>
    </x:row>
    <x:row r="13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C14" s="9" t="str">
        <x:v>Interview framing</x:v>
      </x:c>
      <x:c r="D14" s="10"/>
      <x:c r="E14" s="10"/>
      <x:c r="F14" s="10"/>
      <x:c r="G14" s="10"/>
      <x:c r="H14" s="11"/>
      <x:c r="I14" s="2"/>
      <x:c r="J14" s="2"/>
      <x:c r="K14" s="2"/>
      <x:c r="L14" s="2"/>
      <x:c r="M14" s="2"/>
      <x:c r="N14" s="2"/>
      <x:c r="O14" s="2"/>
      <x:c r="P14" s="2"/>
    </x:row>
    <x:row r="15" ht="48" customHeight="1">
      <x:c r="C15" s="105" t="str">
        <x:v>Decision sequence</x:v>
      </x:c>
      <x:c r="D15" s="105" t="str">
        <x:v>1. Diagnose realized price and usage. 2. Match the value metric to the segment. 3. Test expected value and margin. 4. Trade discounts for stronger unit economics.</x:v>
      </x:c>
      <x:c r="E15" s="105"/>
      <x:c r="F15" s="105"/>
      <x:c r="G15" s="105"/>
      <x:c r="H15" s="105"/>
      <x:c r="I15" s="2"/>
      <x:c r="J15" s="2"/>
      <x:c r="K15" s="2"/>
      <x:c r="L15" s="2"/>
      <x:c r="M15" s="2"/>
      <x:c r="N15" s="2"/>
      <x:c r="O15" s="2"/>
      <x:c r="P15" s="2"/>
    </x:row>
    <x:row r="16" ht="48" customHeight="1">
      <x:c r="C16" s="105" t="str">
        <x:v>Governance principle</x:v>
      </x:c>
      <x:c r="D16" s="105" t="str">
        <x:v>Use pricing guardrails as decision support: protect floor economics, preserve exceptions, and measure renewal outcomes by cohort.</x:v>
      </x:c>
      <x:c r="E16" s="105"/>
      <x:c r="F16" s="105"/>
      <x:c r="G16" s="105"/>
      <x:c r="H16" s="105"/>
      <x:c r="I16" s="2"/>
      <x:c r="J16" s="2"/>
      <x:c r="K16" s="2"/>
      <x:c r="L16" s="2"/>
      <x:c r="M16" s="2"/>
      <x:c r="N16" s="2"/>
      <x:c r="O16" s="2"/>
      <x:c r="P16" s="2"/>
    </x:row>
  </x:sheetData>
  <x:mergeCells>
    <x:mergeCell ref="D15:H15"/>
    <x:mergeCell ref="D16:H16"/>
  </x:mergeCells>
  <x:conditionalFormatting sqref="H8:H12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M8:M12">
    <x:cfRule type="dataBar" priority="2">
      <x:dataBar>
        <x:cfvo type="min"/>
        <x:cfvo type="max"/>
        <x:color rgb="FF1F6FEB"/>
      </x:dataBar>
      <x:extLst>
        <x:ext xmlns:x14="http://schemas.microsoft.com/office/spreadsheetml/2009/9/main" uri="{B025F937-C7B1-47D3-B67F-A62EFF666E3E}">
          <x14:id>{E245F7D5-71CC-E962-02D6-3080277C6B6A}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245F7D5-71CC-E962-02D6-3080277C6B6A}">
            <x14:dataBar gradient="1">
              <x14:cfvo type="min"/>
              <x14:cfvo type="max"/>
              <x14:fillColor rgb="FF1F6FEB"/>
            </x14:dataBar>
          </x14:cfRule>
          <xm:sqref>M8:M12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Pr>
    <x:tabColor rgb="FF9FC5E8"/>
  </x:sheetPr>
  <x:sheetViews>
    <x:sheetView showGridLines="0" workbookViewId="0">
      <x:pane ySplit="19" topLeftCell="A20" activePane="bottomLeft" state="frozen"/>
    </x:sheetView>
  </x:sheetViews>
  <x:sheetFormatPr defaultRowHeight="15"/>
  <x:cols>
    <x:col min="3" max="3" width="24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" hidden="0" customWidth="1"/>
    <x:col min="20" max="20" width="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C2" s="3" t="str">
        <x:v>Portfolio pricing metrics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>
      <x:c r="C4" s="5" t="str">
        <x:v>Synthetic customer and closed-opportunity data illustrate a reusable pricing dashboard for interview discussions.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>
      <x:c r="C6" s="9" t="str">
        <x:v>Core metrics</x:v>
      </x:c>
      <x:c r="D6" s="10"/>
      <x:c r="E6" s="10"/>
      <x:c r="F6" s="10"/>
      <x:c r="G6" s="10"/>
      <x:c r="H6" s="10"/>
      <x:c r="I6" s="10"/>
      <x:c r="J6" s="10"/>
      <x:c r="K6" s="10"/>
      <x:c r="L6" s="11"/>
      <x:c r="M6" s="2"/>
      <x:c r="N6" s="9" t="str">
        <x:v>ARR and margin by segment</x:v>
      </x:c>
      <x:c r="O6" s="10"/>
      <x:c r="P6" s="10"/>
      <x:c r="Q6" s="10"/>
      <x:c r="R6" s="10"/>
      <x:c r="S6" s="10"/>
      <x:c r="T6" s="11"/>
    </x:row>
    <x:row r="7">
      <x:c r="C7" s="113" t="str">
        <x:v>Total ARR</x:v>
      </x:c>
      <x:c r="D7" s="114"/>
      <x:c r="E7" s="114" t="str">
        <x:v>Average active ACV</x:v>
      </x:c>
      <x:c r="F7" s="114"/>
      <x:c r="G7" s="114" t="str">
        <x:v>Weighted discount</x:v>
      </x:c>
      <x:c r="H7" s="114"/>
      <x:c r="I7" s="114" t="str">
        <x:v>Win rate</x:v>
      </x:c>
      <x:c r="J7" s="114"/>
      <x:c r="K7" s="114" t="str">
        <x:v>Average won sales cycle (days)</x:v>
      </x:c>
      <x:c r="L7" s="115"/>
      <x:c r="M7" s="2"/>
      <x:c r="N7" s="16" t="str">
        <x:v>Segment</x:v>
      </x:c>
      <x:c r="O7" s="16" t="str">
        <x:v>ARR</x:v>
      </x:c>
      <x:c r="P7" s="16" t="str">
        <x:v>Active customers</x:v>
      </x:c>
      <x:c r="Q7" s="16" t="str">
        <x:v>Average ACV</x:v>
      </x:c>
      <x:c r="R7" s="16" t="str">
        <x:v>Gross margin</x:v>
      </x:c>
      <x:c r="S7" s="2"/>
      <x:c r="T7" s="2"/>
    </x:row>
    <x:row r="8">
      <x:c r="C8" s="26"/>
      <x:c r="D8" s="116" t="n">
        <x:f>SUM(G20:G29)</x:f>
        <x:v>3552000</x:v>
      </x:c>
      <x:c r="E8" s="116"/>
      <x:c r="F8" s="116" t="n">
        <x:f>AVERAGEIFS(G20:G29,G20:G29,"&gt;0")</x:f>
        <x:v>394666.6666666667</x:v>
      </x:c>
      <x:c r="G8" s="117"/>
      <x:c r="H8" s="118" t="n">
        <x:f>SUMPRODUCT(E36:E43,G36:G43)/SUM(E36:E43)</x:f>
        <x:v>0.10606060606060606</x:v>
      </x:c>
      <x:c r="I8" s="118"/>
      <x:c r="J8" s="118" t="n">
        <x:f>COUNTIFS(H36:H43,"Won")/(COUNTIFS(H36:H43,"Won")+COUNTIFS(H36:H43,"Lost"))</x:f>
        <x:v>0.625</x:v>
      </x:c>
      <x:c r="K8" s="117"/>
      <x:c r="L8" s="119" t="n">
        <x:f>AVERAGEIFS(I36:I43,H36:H43,"Won")</x:f>
        <x:v>91.6</x:v>
      </x:c>
      <x:c r="M8" s="2"/>
      <x:c r="N8" s="20" t="str">
        <x:v>Enterprise</x:v>
      </x:c>
      <x:c r="O8" s="22" t="n">
        <x:f>SUMIFS($G$20:$G$29,$D$20:$D$29,$N8)</x:f>
        <x:v>989000</x:v>
      </x:c>
      <x:c r="P8" s="22" t="n">
        <x:f>COUNTIFS($D$20:$D$29,$N8,$G$20:$G$29,"&gt;0")</x:f>
        <x:v>3</x:v>
      </x:c>
      <x:c r="Q8" s="22" t="n">
        <x:f>IF(P8=0,"n.a.",O8/P8)</x:f>
        <x:v>329666.6666666667</x:v>
      </x:c>
      <x:c r="R8" s="25" t="n">
        <x:f>SUMIFS($M$20:$M$29,$D$20:$D$29,$N8)/SUMIFS($L$20:$L$29,$D$20:$D$29,$N8)</x:f>
        <x:v>0.7892156862745098</x:v>
      </x:c>
      <x:c r="S8" s="2"/>
      <x:c r="T8" s="2"/>
    </x:row>
    <x:row r="9">
      <x:c r="C9" s="120" t="str">
        <x:v>Renewal rate</x:v>
      </x:c>
      <x:c r="D9" s="117"/>
      <x:c r="E9" s="117" t="str">
        <x:v>NRR</x:v>
      </x:c>
      <x:c r="F9" s="117"/>
      <x:c r="G9" s="117" t="str">
        <x:v>Usage growth</x:v>
      </x:c>
      <x:c r="H9" s="117"/>
      <x:c r="I9" s="117" t="str">
        <x:v>Gross margin</x:v>
      </x:c>
      <x:c r="J9" s="117"/>
      <x:c r="K9" s="117" t="str">
        <x:v>Expansion ARR</x:v>
      </x:c>
      <x:c r="L9" s="121"/>
      <x:c r="M9" s="2"/>
      <x:c r="N9" s="26" t="str">
        <x:v>Public Sector</x:v>
      </x:c>
      <x:c r="O9" s="28" t="n">
        <x:f>SUMIFS($G$20:$G$29,$D$20:$D$29,$N9)</x:f>
        <x:v>2047000</x:v>
      </x:c>
      <x:c r="P9" s="28" t="n">
        <x:f>COUNTIFS($D$20:$D$29,$N9,$G$20:$G$29,"&gt;0")</x:f>
        <x:v>4</x:v>
      </x:c>
      <x:c r="Q9" s="28" t="n">
        <x:f>IF(P9=0,"n.a.",O9/P9)</x:f>
        <x:v>511750</x:v>
      </x:c>
      <x:c r="R9" s="31" t="n">
        <x:f>SUMIFS($M$20:$M$29,$D$20:$D$29,$N9)/SUMIFS($L$20:$L$29,$D$20:$D$29,$N9)</x:f>
        <x:v>0.7880952380952381</x:v>
      </x:c>
      <x:c r="S9" s="2"/>
      <x:c r="T9" s="2"/>
    </x:row>
    <x:row r="10">
      <x:c r="C10" s="26"/>
      <x:c r="D10" s="118" t="n">
        <x:f>COUNTIFS(O20:O29,"Renewed")/(COUNTIFS(O20:O29,"Renewed")+COUNTIFS(O20:O29,"Churned"))</x:f>
        <x:v>0.8888888888888888</x:v>
      </x:c>
      <x:c r="E10" s="118"/>
      <x:c r="F10" s="118" t="n">
        <x:f>SUM(G20:G29)/SUM(F20:F29)</x:f>
        <x:v>1.050887573964497</x:v>
      </x:c>
      <x:c r="G10" s="118"/>
      <x:c r="H10" s="118" t="n">
        <x:f>SUM(K20:K29)/SUM(J20:J29)-1</x:f>
        <x:v>0.10491803278688527</x:v>
      </x:c>
      <x:c r="I10" s="118"/>
      <x:c r="J10" s="118" t="n">
        <x:f>SUM(M20:M29)/SUM(L20:L29)</x:f>
        <x:v>0.7811671087533156</x:v>
      </x:c>
      <x:c r="K10" s="117"/>
      <x:c r="L10" s="122" t="n">
        <x:f>SUM(H20:H29)</x:f>
        <x:v>392000</x:v>
      </x:c>
      <x:c r="M10" s="2"/>
      <x:c r="N10" s="32" t="str">
        <x:v>Digital Native</x:v>
      </x:c>
      <x:c r="O10" s="34" t="n">
        <x:f>SUMIFS($G$20:$G$29,$D$20:$D$29,$N10)</x:f>
        <x:v>516000</x:v>
      </x:c>
      <x:c r="P10" s="34" t="n">
        <x:f>COUNTIFS($D$20:$D$29,$N10,$G$20:$G$29,"&gt;0")</x:f>
        <x:v>2</x:v>
      </x:c>
      <x:c r="Q10" s="34" t="n">
        <x:f>IF(P10=0,"n.a.",O10/P10)</x:f>
        <x:v>258000</x:v>
      </x:c>
      <x:c r="R10" s="37" t="n">
        <x:f>SUMIFS($M$20:$M$29,$D$20:$D$29,$N10)/SUMIFS($L$20:$L$29,$D$20:$D$29,$N10)</x:f>
        <x:v>0.7461538461538462</x:v>
      </x:c>
      <x:c r="S10" s="2"/>
      <x:c r="T10" s="2"/>
    </x:row>
    <x:row r="11">
      <x:c r="C11" s="120" t="str">
        <x:v>Multi-product penetration</x:v>
      </x:c>
      <x:c r="D11" s="117"/>
      <x:c r="E11" s="117" t="str">
        <x:v>Discounted cohort churn</x:v>
      </x:c>
      <x:c r="F11" s="117"/>
      <x:c r="G11" s="117" t="str">
        <x:v>Won ACV</x:v>
      </x:c>
      <x:c r="H11" s="117"/>
      <x:c r="I11" s="117" t="str">
        <x:v>Closed opportunities</x:v>
      </x:c>
      <x:c r="J11" s="117"/>
      <x:c r="K11" s="117" t="str">
        <x:v>Active customers</x:v>
      </x:c>
      <x:c r="L11" s="121"/>
      <x:c r="M11" s="2"/>
      <x:c r="N11" s="2"/>
      <x:c r="O11" s="2"/>
      <x:c r="P11" s="2"/>
      <x:c r="Q11" s="2"/>
      <x:c r="R11" s="2"/>
      <x:c r="S11" s="2"/>
      <x:c r="T11" s="2"/>
    </x:row>
    <x:row r="12">
      <x:c r="C12" s="32"/>
      <x:c r="D12" s="123" t="n">
        <x:f>COUNTIFS(N20:N29,"&gt;1",G20:G29,"&gt;0")/COUNTIFS(G20:G29,"&gt;0")</x:f>
        <x:v>0.8888888888888888</x:v>
      </x:c>
      <x:c r="E12" s="123"/>
      <x:c r="F12" s="123" t="n">
        <x:f>SUMIFS(I20:I29,E20:E29,"Discounted")/SUMIFS(F20:F29,E20:E29,"Discounted")</x:f>
        <x:v>0.36666666666666664</x:v>
      </x:c>
      <x:c r="G12" s="124"/>
      <x:c r="H12" s="125" t="n">
        <x:f>SUMIFS(F36:F43,H36:H43,"Won")</x:f>
        <x:v>2015000</x:v>
      </x:c>
      <x:c r="I12" s="124"/>
      <x:c r="J12" s="124" t="n">
        <x:f>COUNTIFS(H36:H43,"Won")+COUNTIFS(H36:H43,"Lost")</x:f>
        <x:v>8</x:v>
      </x:c>
      <x:c r="K12" s="124"/>
      <x:c r="L12" s="126" t="n">
        <x:f>COUNTIFS(G20:G29,"&gt;0")</x:f>
        <x:v>9</x:v>
      </x:c>
      <x:c r="M12" s="2"/>
      <x:c r="N12" s="9" t="str">
        <x:v>Churn by price cohort</x:v>
      </x:c>
      <x:c r="O12" s="10"/>
      <x:c r="P12" s="10"/>
      <x:c r="Q12" s="10"/>
      <x:c r="R12" s="10"/>
      <x:c r="S12" s="10"/>
      <x:c r="T12" s="11"/>
    </x:row>
    <x:row r="13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16" t="str">
        <x:v>Price cohort</x:v>
      </x:c>
      <x:c r="O13" s="16" t="str">
        <x:v>Opening ARR</x:v>
      </x:c>
      <x:c r="P13" s="16" t="str">
        <x:v>Churn ARR</x:v>
      </x:c>
      <x:c r="Q13" s="16" t="str">
        <x:v>Churn rate</x:v>
      </x:c>
      <x:c r="R13" s="2"/>
      <x:c r="S13" s="2"/>
      <x:c r="T13" s="2"/>
    </x:row>
    <x:row r="14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0" t="str">
        <x:v>Legacy</x:v>
      </x:c>
      <x:c r="O14" s="22" t="n">
        <x:f>SUMIFS($F$20:$F$29,$E$20:$E$29,$N14)</x:f>
        <x:v>1240000</x:v>
      </x:c>
      <x:c r="P14" s="22" t="n">
        <x:f>SUMIFS($I$20:$I$29,$E$20:$E$29,$N14)</x:f>
        <x:v>0</x:v>
      </x:c>
      <x:c r="Q14" s="25" t="n">
        <x:f>IF(O14=0,"n.a.",P14/O14)</x:f>
        <x:v>0</x:v>
      </x:c>
      <x:c r="R14" s="2"/>
      <x:c r="S14" s="2"/>
      <x:c r="T14" s="2"/>
    </x:row>
    <x:row r="15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6" t="str">
        <x:v>Current</x:v>
      </x:c>
      <x:c r="O15" s="28" t="n">
        <x:f>SUMIFS($F$20:$F$29,$E$20:$E$29,$N15)</x:f>
        <x:v>1540000</x:v>
      </x:c>
      <x:c r="P15" s="28" t="n">
        <x:f>SUMIFS($I$20:$I$29,$E$20:$E$29,$N15)</x:f>
        <x:v>0</x:v>
      </x:c>
      <x:c r="Q15" s="31" t="n">
        <x:f>IF(O15=0,"n.a.",P15/O15)</x:f>
        <x:v>0</x:v>
      </x:c>
      <x:c r="R15" s="2"/>
      <x:c r="S15" s="2"/>
      <x:c r="T15" s="2"/>
    </x:row>
    <x:row r="16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32" t="str">
        <x:v>Discounted</x:v>
      </x:c>
      <x:c r="O16" s="34" t="n">
        <x:f>SUMIFS($F$20:$F$29,$E$20:$E$29,$N16)</x:f>
        <x:v>600000</x:v>
      </x:c>
      <x:c r="P16" s="34" t="n">
        <x:f>SUMIFS($I$20:$I$29,$E$20:$E$29,$N16)</x:f>
        <x:v>220000</x:v>
      </x:c>
      <x:c r="Q16" s="37" t="n">
        <x:f>IF(O16=0,"n.a.",P16/O16)</x:f>
        <x:v>0.36666666666666664</x:v>
      </x:c>
      <x:c r="R16" s="2"/>
      <x:c r="S16" s="2"/>
      <x:c r="T16" s="2"/>
    </x:row>
    <x:row r="17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>
      <x:c r="C18" s="9" t="str">
        <x:v>Customer cohort data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1"/>
      <x:c r="P18" s="2"/>
      <x:c r="Q18" s="2"/>
      <x:c r="R18" s="2"/>
      <x:c r="S18" s="2"/>
      <x:c r="T18" s="2"/>
    </x:row>
    <x:row r="19">
      <x:c r="C19" s="16" t="str">
        <x:v>Customer</x:v>
      </x:c>
      <x:c r="D19" s="16" t="str">
        <x:v>Segment</x:v>
      </x:c>
      <x:c r="E19" s="16" t="str">
        <x:v>Price cohort</x:v>
      </x:c>
      <x:c r="F19" s="16" t="str">
        <x:v>Opening ARR</x:v>
      </x:c>
      <x:c r="G19" s="16" t="str">
        <x:v>Current ARR</x:v>
      </x:c>
      <x:c r="H19" s="16" t="str">
        <x:v>Expansion ARR</x:v>
      </x:c>
      <x:c r="I19" s="16" t="str">
        <x:v>Churn ARR</x:v>
      </x:c>
      <x:c r="J19" s="16" t="str">
        <x:v>Prior usage (M)</x:v>
      </x:c>
      <x:c r="K19" s="16" t="str">
        <x:v>Current usage (M)</x:v>
      </x:c>
      <x:c r="L19" s="16" t="str">
        <x:v>Revenue</x:v>
      </x:c>
      <x:c r="M19" s="16" t="str">
        <x:v>Gross profit</x:v>
      </x:c>
      <x:c r="N19" s="16" t="str">
        <x:v>Products</x:v>
      </x:c>
      <x:c r="O19" s="16" t="str">
        <x:v>Renewal status</x:v>
      </x:c>
      <x:c r="P19" s="2"/>
      <x:c r="Q19" s="2"/>
      <x:c r="R19" s="2"/>
      <x:c r="S19" s="2"/>
      <x:c r="T19" s="2"/>
    </x:row>
    <x:row r="20">
      <x:c r="C20" s="20" t="str">
        <x:v>Atlas Public</x:v>
      </x:c>
      <x:c r="D20" s="21" t="str">
        <x:v>Public Sector</x:v>
      </x:c>
      <x:c r="E20" s="21" t="str">
        <x:v>Legacy</x:v>
      </x:c>
      <x:c r="F20" s="22" t="n">
        <x:v>500000</x:v>
      </x:c>
      <x:c r="G20" s="22" t="n">
        <x:v>600000</x:v>
      </x:c>
      <x:c r="H20" s="22" t="n">
        <x:v>100000</x:v>
      </x:c>
      <x:c r="I20" s="22" t="n">
        <x:v>0</x:v>
      </x:c>
      <x:c r="J20" s="23" t="n">
        <x:v>12</x:v>
      </x:c>
      <x:c r="K20" s="23" t="n">
        <x:v>16</x:v>
      </x:c>
      <x:c r="L20" s="22" t="n">
        <x:v>620000</x:v>
      </x:c>
      <x:c r="M20" s="22" t="n">
        <x:v>490000</x:v>
      </x:c>
      <x:c r="N20" s="21" t="n">
        <x:v>2</x:v>
      </x:c>
      <x:c r="O20" s="56" t="str">
        <x:v>Renewed</x:v>
      </x:c>
      <x:c r="P20" s="2"/>
      <x:c r="Q20" s="2"/>
      <x:c r="R20" s="2"/>
      <x:c r="S20" s="2"/>
      <x:c r="T20" s="2"/>
    </x:row>
    <x:row r="21">
      <x:c r="C21" s="26" t="str">
        <x:v>Blue Ledger</x:v>
      </x:c>
      <x:c r="D21" s="27" t="str">
        <x:v>Digital Native</x:v>
      </x:c>
      <x:c r="E21" s="27" t="str">
        <x:v>Current</x:v>
      </x:c>
      <x:c r="F21" s="28" t="n">
        <x:v>300000</x:v>
      </x:c>
      <x:c r="G21" s="28" t="n">
        <x:v>336000</x:v>
      </x:c>
      <x:c r="H21" s="28" t="n">
        <x:v>36000</x:v>
      </x:c>
      <x:c r="I21" s="28" t="n">
        <x:v>0</x:v>
      </x:c>
      <x:c r="J21" s="29" t="n">
        <x:v>75</x:v>
      </x:c>
      <x:c r="K21" s="29" t="n">
        <x:v>98</x:v>
      </x:c>
      <x:c r="L21" s="28" t="n">
        <x:v>345000</x:v>
      </x:c>
      <x:c r="M21" s="28" t="n">
        <x:v>270000</x:v>
      </x:c>
      <x:c r="N21" s="27" t="n">
        <x:v>3</x:v>
      </x:c>
      <x:c r="O21" s="57" t="str">
        <x:v>Renewed</x:v>
      </x:c>
      <x:c r="P21" s="2"/>
      <x:c r="Q21" s="2"/>
      <x:c r="R21" s="2"/>
      <x:c r="S21" s="2"/>
      <x:c r="T21" s="2"/>
    </x:row>
    <x:row r="22">
      <x:c r="C22" s="26" t="str">
        <x:v>Capital Harbor</x:v>
      </x:c>
      <x:c r="D22" s="27" t="str">
        <x:v>Enterprise</x:v>
      </x:c>
      <x:c r="E22" s="27" t="str">
        <x:v>Current</x:v>
      </x:c>
      <x:c r="F22" s="28" t="n">
        <x:v>420000</x:v>
      </x:c>
      <x:c r="G22" s="28" t="n">
        <x:v>470000</x:v>
      </x:c>
      <x:c r="H22" s="28" t="n">
        <x:v>50000</x:v>
      </x:c>
      <x:c r="I22" s="28" t="n">
        <x:v>0</x:v>
      </x:c>
      <x:c r="J22" s="29" t="n">
        <x:v>40</x:v>
      </x:c>
      <x:c r="K22" s="29" t="n">
        <x:v>54</x:v>
      </x:c>
      <x:c r="L22" s="28" t="n">
        <x:v>485000</x:v>
      </x:c>
      <x:c r="M22" s="28" t="n">
        <x:v>390000</x:v>
      </x:c>
      <x:c r="N22" s="27" t="n">
        <x:v>2</x:v>
      </x:c>
      <x:c r="O22" s="57" t="str">
        <x:v>Renewed</x:v>
      </x:c>
      <x:c r="P22" s="2"/>
      <x:c r="Q22" s="2"/>
      <x:c r="R22" s="2"/>
      <x:c r="S22" s="2"/>
      <x:c r="T22" s="2"/>
    </x:row>
    <x:row r="23">
      <x:c r="C23" s="26" t="str">
        <x:v>Delta Public</x:v>
      </x:c>
      <x:c r="D23" s="27" t="str">
        <x:v>Public Sector</x:v>
      </x:c>
      <x:c r="E23" s="27" t="str">
        <x:v>Discounted</x:v>
      </x:c>
      <x:c r="F23" s="28" t="n">
        <x:v>380000</x:v>
      </x:c>
      <x:c r="G23" s="28" t="n">
        <x:v>380000</x:v>
      </x:c>
      <x:c r="H23" s="28" t="n">
        <x:v>0</x:v>
      </x:c>
      <x:c r="I23" s="28" t="n">
        <x:v>0</x:v>
      </x:c>
      <x:c r="J23" s="29" t="n">
        <x:v>8</x:v>
      </x:c>
      <x:c r="K23" s="29" t="n">
        <x:v>9</x:v>
      </x:c>
      <x:c r="L23" s="28" t="n">
        <x:v>400000</x:v>
      </x:c>
      <x:c r="M23" s="28" t="n">
        <x:v>300000</x:v>
      </x:c>
      <x:c r="N23" s="27" t="n">
        <x:v>1</x:v>
      </x:c>
      <x:c r="O23" s="57" t="str">
        <x:v>Upcoming</x:v>
      </x:c>
      <x:c r="P23" s="2"/>
      <x:c r="Q23" s="2"/>
      <x:c r="R23" s="2"/>
      <x:c r="S23" s="2"/>
      <x:c r="T23" s="2"/>
    </x:row>
    <x:row r="24">
      <x:c r="C24" s="26" t="str">
        <x:v>Evergreen Systems</x:v>
      </x:c>
      <x:c r="D24" s="27" t="str">
        <x:v>Enterprise</x:v>
      </x:c>
      <x:c r="E24" s="27" t="str">
        <x:v>Legacy</x:v>
      </x:c>
      <x:c r="F24" s="28" t="n">
        <x:v>260000</x:v>
      </x:c>
      <x:c r="G24" s="28" t="n">
        <x:v>312000</x:v>
      </x:c>
      <x:c r="H24" s="28" t="n">
        <x:v>52000</x:v>
      </x:c>
      <x:c r="I24" s="28" t="n">
        <x:v>0</x:v>
      </x:c>
      <x:c r="J24" s="29" t="n">
        <x:v>22</x:v>
      </x:c>
      <x:c r="K24" s="29" t="n">
        <x:v>32</x:v>
      </x:c>
      <x:c r="L24" s="28" t="n">
        <x:v>320000</x:v>
      </x:c>
      <x:c r="M24" s="28" t="n">
        <x:v>250000</x:v>
      </x:c>
      <x:c r="N24" s="27" t="n">
        <x:v>2</x:v>
      </x:c>
      <x:c r="O24" s="57" t="str">
        <x:v>Renewed</x:v>
      </x:c>
      <x:c r="P24" s="2"/>
      <x:c r="Q24" s="2"/>
      <x:c r="R24" s="2"/>
      <x:c r="S24" s="2"/>
      <x:c r="T24" s="2"/>
    </x:row>
    <x:row r="25">
      <x:c r="C25" s="26" t="str">
        <x:v>Frontier Labs</x:v>
      </x:c>
      <x:c r="D25" s="27" t="str">
        <x:v>Digital Native</x:v>
      </x:c>
      <x:c r="E25" s="27" t="str">
        <x:v>Discounted</x:v>
      </x:c>
      <x:c r="F25" s="28" t="n">
        <x:v>220000</x:v>
      </x:c>
      <x:c r="G25" s="28" t="n">
        <x:v>0</x:v>
      </x:c>
      <x:c r="H25" s="28" t="n">
        <x:v>0</x:v>
      </x:c>
      <x:c r="I25" s="28" t="n">
        <x:v>220000</x:v>
      </x:c>
      <x:c r="J25" s="29" t="n">
        <x:v>60</x:v>
      </x:c>
      <x:c r="K25" s="29" t="n">
        <x:v>0</x:v>
      </x:c>
      <x:c r="L25" s="28" t="n">
        <x:v>120000</x:v>
      </x:c>
      <x:c r="M25" s="28" t="n">
        <x:v>70000</x:v>
      </x:c>
      <x:c r="N25" s="27" t="n">
        <x:v>1</x:v>
      </x:c>
      <x:c r="O25" s="57" t="str">
        <x:v>Churned</x:v>
      </x:c>
      <x:c r="P25" s="2"/>
      <x:c r="Q25" s="2"/>
      <x:c r="R25" s="2"/>
      <x:c r="S25" s="2"/>
      <x:c r="T25" s="2"/>
    </x:row>
    <x:row r="26">
      <x:c r="C26" s="26" t="str">
        <x:v>Granite Public</x:v>
      </x:c>
      <x:c r="D26" s="27" t="str">
        <x:v>Public Sector</x:v>
      </x:c>
      <x:c r="E26" s="27" t="str">
        <x:v>Current</x:v>
      </x:c>
      <x:c r="F26" s="28" t="n">
        <x:v>640000</x:v>
      </x:c>
      <x:c r="G26" s="28" t="n">
        <x:v>704000</x:v>
      </x:c>
      <x:c r="H26" s="28" t="n">
        <x:v>64000</x:v>
      </x:c>
      <x:c r="I26" s="28" t="n">
        <x:v>0</x:v>
      </x:c>
      <x:c r="J26" s="29" t="n">
        <x:v>18</x:v>
      </x:c>
      <x:c r="K26" s="29" t="n">
        <x:v>22</x:v>
      </x:c>
      <x:c r="L26" s="28" t="n">
        <x:v>710000</x:v>
      </x:c>
      <x:c r="M26" s="28" t="n">
        <x:v>575000</x:v>
      </x:c>
      <x:c r="N26" s="27" t="n">
        <x:v>3</x:v>
      </x:c>
      <x:c r="O26" s="57" t="str">
        <x:v>Renewed</x:v>
      </x:c>
      <x:c r="P26" s="2"/>
      <x:c r="Q26" s="2"/>
      <x:c r="R26" s="2"/>
      <x:c r="S26" s="2"/>
      <x:c r="T26" s="2"/>
    </x:row>
    <x:row r="27">
      <x:c r="C27" s="26" t="str">
        <x:v>Harbor Systems</x:v>
      </x:c>
      <x:c r="D27" s="27" t="str">
        <x:v>Enterprise</x:v>
      </x:c>
      <x:c r="E27" s="27" t="str">
        <x:v>Current</x:v>
      </x:c>
      <x:c r="F27" s="28" t="n">
        <x:v>180000</x:v>
      </x:c>
      <x:c r="G27" s="28" t="n">
        <x:v>207000</x:v>
      </x:c>
      <x:c r="H27" s="28" t="n">
        <x:v>27000</x:v>
      </x:c>
      <x:c r="I27" s="28" t="n">
        <x:v>0</x:v>
      </x:c>
      <x:c r="J27" s="29" t="n">
        <x:v>15</x:v>
      </x:c>
      <x:c r="K27" s="29" t="n">
        <x:v>23</x:v>
      </x:c>
      <x:c r="L27" s="28" t="n">
        <x:v>215000</x:v>
      </x:c>
      <x:c r="M27" s="28" t="n">
        <x:v>165000</x:v>
      </x:c>
      <x:c r="N27" s="27" t="n">
        <x:v>2</x:v>
      </x:c>
      <x:c r="O27" s="57" t="str">
        <x:v>Renewed</x:v>
      </x:c>
      <x:c r="P27" s="2"/>
      <x:c r="Q27" s="2"/>
      <x:c r="R27" s="2"/>
      <x:c r="S27" s="2"/>
      <x:c r="T27" s="2"/>
    </x:row>
    <x:row r="28">
      <x:c r="C28" s="26" t="str">
        <x:v>Ion Markets</x:v>
      </x:c>
      <x:c r="D28" s="27" t="str">
        <x:v>Digital Native</x:v>
      </x:c>
      <x:c r="E28" s="27" t="str">
        <x:v>Legacy</x:v>
      </x:c>
      <x:c r="F28" s="28" t="n">
        <x:v>150000</x:v>
      </x:c>
      <x:c r="G28" s="28" t="n">
        <x:v>180000</x:v>
      </x:c>
      <x:c r="H28" s="28" t="n">
        <x:v>30000</x:v>
      </x:c>
      <x:c r="I28" s="28" t="n">
        <x:v>0</x:v>
      </x:c>
      <x:c r="J28" s="29" t="n">
        <x:v>45</x:v>
      </x:c>
      <x:c r="K28" s="29" t="n">
        <x:v>70</x:v>
      </x:c>
      <x:c r="L28" s="28" t="n">
        <x:v>185000</x:v>
      </x:c>
      <x:c r="M28" s="28" t="n">
        <x:v>145000</x:v>
      </x:c>
      <x:c r="N28" s="27" t="n">
        <x:v>2</x:v>
      </x:c>
      <x:c r="O28" s="57" t="str">
        <x:v>Renewed</x:v>
      </x:c>
      <x:c r="P28" s="2"/>
      <x:c r="Q28" s="2"/>
      <x:c r="R28" s="2"/>
      <x:c r="S28" s="2"/>
      <x:c r="T28" s="2"/>
    </x:row>
    <x:row r="29">
      <x:c r="C29" s="32" t="str">
        <x:v>Juniper Public</x:v>
      </x:c>
      <x:c r="D29" s="33" t="str">
        <x:v>Public Sector</x:v>
      </x:c>
      <x:c r="E29" s="33" t="str">
        <x:v>Legacy</x:v>
      </x:c>
      <x:c r="F29" s="34" t="n">
        <x:v>330000</x:v>
      </x:c>
      <x:c r="G29" s="34" t="n">
        <x:v>363000</x:v>
      </x:c>
      <x:c r="H29" s="34" t="n">
        <x:v>33000</x:v>
      </x:c>
      <x:c r="I29" s="34" t="n">
        <x:v>0</x:v>
      </x:c>
      <x:c r="J29" s="35" t="n">
        <x:v>10</x:v>
      </x:c>
      <x:c r="K29" s="35" t="n">
        <x:v>13</x:v>
      </x:c>
      <x:c r="L29" s="34" t="n">
        <x:v>370000</x:v>
      </x:c>
      <x:c r="M29" s="34" t="n">
        <x:v>290000</x:v>
      </x:c>
      <x:c r="N29" s="33" t="n">
        <x:v>2</x:v>
      </x:c>
      <x:c r="O29" s="58" t="str">
        <x:v>Renewed</x:v>
      </x:c>
      <x:c r="P29" s="2"/>
      <x:c r="Q29" s="2"/>
      <x:c r="R29" s="2"/>
      <x:c r="S29" s="2"/>
      <x:c r="T29" s="2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>
      <x:c r="C34" s="9" t="str">
        <x:v>Closed opportunity data</x:v>
      </x:c>
      <x:c r="D34" s="10"/>
      <x:c r="E34" s="10"/>
      <x:c r="F34" s="10"/>
      <x:c r="G34" s="10"/>
      <x:c r="H34" s="10"/>
      <x:c r="I34" s="10"/>
      <x:c r="J34" s="10"/>
      <x:c r="K34" s="11"/>
      <x:c r="L34" s="2"/>
      <x:c r="M34" s="2"/>
      <x:c r="N34" s="2"/>
      <x:c r="O34" s="2"/>
      <x:c r="P34" s="2"/>
      <x:c r="Q34" s="2"/>
      <x:c r="R34" s="2"/>
      <x:c r="S34" s="2"/>
      <x:c r="T34" s="2"/>
    </x:row>
    <x:row r="35">
      <x:c r="C35" s="16" t="str">
        <x:v>Opportunity</x:v>
      </x:c>
      <x:c r="D35" s="16" t="str">
        <x:v>Segment</x:v>
      </x:c>
      <x:c r="E35" s="16" t="str">
        <x:v>List ACV</x:v>
      </x:c>
      <x:c r="F35" s="16" t="str">
        <x:v>Net ACV</x:v>
      </x:c>
      <x:c r="G35" s="16" t="str">
        <x:v>Discount</x:v>
      </x:c>
      <x:c r="H35" s="16" t="str">
        <x:v>Outcome</x:v>
      </x:c>
      <x:c r="I35" s="16" t="str">
        <x:v>Sales cycle days</x:v>
      </x:c>
      <x:c r="J35" s="16" t="str">
        <x:v>Products</x:v>
      </x:c>
      <x:c r="K35" s="16" t="str">
        <x:v>Win probability</x:v>
      </x:c>
      <x:c r="L35" s="2"/>
      <x:c r="M35" s="2"/>
      <x:c r="N35" s="2"/>
      <x:c r="O35" s="2"/>
      <x:c r="P35" s="2"/>
      <x:c r="Q35" s="2"/>
      <x:c r="R35" s="2"/>
      <x:c r="S35" s="2"/>
      <x:c r="T35" s="2"/>
    </x:row>
    <x:row r="36">
      <x:c r="C36" s="20" t="str">
        <x:v>Apollo Systems</x:v>
      </x:c>
      <x:c r="D36" s="21" t="str">
        <x:v>Enterprise</x:v>
      </x:c>
      <x:c r="E36" s="22" t="n">
        <x:v>500000</x:v>
      </x:c>
      <x:c r="F36" s="22" t="n">
        <x:v>400000</x:v>
      </x:c>
      <x:c r="G36" s="24" t="n">
        <x:v>0.2</x:v>
      </x:c>
      <x:c r="H36" s="21" t="str">
        <x:v>Won</x:v>
      </x:c>
      <x:c r="I36" s="21" t="n">
        <x:v>92</x:v>
      </x:c>
      <x:c r="J36" s="21" t="n">
        <x:v>2</x:v>
      </x:c>
      <x:c r="K36" s="25" t="n">
        <x:v>0.65</x:v>
      </x:c>
      <x:c r="L36" s="2"/>
      <x:c r="M36" s="2"/>
      <x:c r="N36" s="2"/>
      <x:c r="O36" s="2"/>
      <x:c r="P36" s="2"/>
      <x:c r="Q36" s="2"/>
      <x:c r="R36" s="2"/>
      <x:c r="S36" s="2"/>
      <x:c r="T36" s="2"/>
    </x:row>
    <x:row r="37">
      <x:c r="C37" s="26" t="str">
        <x:v>Borealis Public</x:v>
      </x:c>
      <x:c r="D37" s="27" t="str">
        <x:v>Public Sector</x:v>
      </x:c>
      <x:c r="E37" s="28" t="n">
        <x:v>720000</x:v>
      </x:c>
      <x:c r="F37" s="28" t="n">
        <x:v>684000</x:v>
      </x:c>
      <x:c r="G37" s="30" t="n">
        <x:v>0.05</x:v>
      </x:c>
      <x:c r="H37" s="27" t="str">
        <x:v>Won</x:v>
      </x:c>
      <x:c r="I37" s="27" t="n">
        <x:v>140</x:v>
      </x:c>
      <x:c r="J37" s="27" t="n">
        <x:v>2</x:v>
      </x:c>
      <x:c r="K37" s="31" t="n">
        <x:v>0.63</x:v>
      </x:c>
      <x:c r="L37" s="2"/>
      <x:c r="M37" s="2"/>
      <x:c r="N37" s="2"/>
      <x:c r="O37" s="2"/>
      <x:c r="P37" s="2"/>
      <x:c r="Q37" s="2"/>
      <x:c r="R37" s="2"/>
      <x:c r="S37" s="2"/>
      <x:c r="T37" s="2"/>
    </x:row>
    <x:row r="38">
      <x:c r="C38" s="26" t="str">
        <x:v>Cipher Labs</x:v>
      </x:c>
      <x:c r="D38" s="27" t="str">
        <x:v>Digital Native</x:v>
      </x:c>
      <x:c r="E38" s="28" t="n">
        <x:v>420000</x:v>
      </x:c>
      <x:c r="F38" s="28" t="n">
        <x:v>378000</x:v>
      </x:c>
      <x:c r="G38" s="30" t="n">
        <x:v>0.1</x:v>
      </x:c>
      <x:c r="H38" s="27" t="str">
        <x:v>Lost</x:v>
      </x:c>
      <x:c r="I38" s="27" t="n">
        <x:v>75</x:v>
      </x:c>
      <x:c r="J38" s="27" t="n">
        <x:v>1</x:v>
      </x:c>
      <x:c r="K38" s="31" t="n">
        <x:v>0.48</x:v>
      </x:c>
      <x:c r="L38" s="2"/>
      <x:c r="M38" s="2"/>
      <x:c r="N38" s="2"/>
      <x:c r="O38" s="2"/>
      <x:c r="P38" s="2"/>
      <x:c r="Q38" s="2"/>
      <x:c r="R38" s="2"/>
      <x:c r="S38" s="2"/>
      <x:c r="T38" s="2"/>
    </x:row>
    <x:row r="39">
      <x:c r="C39" s="26" t="str">
        <x:v>Dominion Systems</x:v>
      </x:c>
      <x:c r="D39" s="27" t="str">
        <x:v>Enterprise</x:v>
      </x:c>
      <x:c r="E39" s="28" t="n">
        <x:v>450000</x:v>
      </x:c>
      <x:c r="F39" s="28" t="n">
        <x:v>414000</x:v>
      </x:c>
      <x:c r="G39" s="30" t="n">
        <x:v>0.08</x:v>
      </x:c>
      <x:c r="H39" s="27" t="str">
        <x:v>Won</x:v>
      </x:c>
      <x:c r="I39" s="27" t="n">
        <x:v>110</x:v>
      </x:c>
      <x:c r="J39" s="27" t="n">
        <x:v>2</x:v>
      </x:c>
      <x:c r="K39" s="31" t="n">
        <x:v>0.7</x:v>
      </x:c>
      <x:c r="L39" s="2"/>
      <x:c r="M39" s="2"/>
      <x:c r="N39" s="2"/>
      <x:c r="O39" s="2"/>
      <x:c r="P39" s="2"/>
      <x:c r="Q39" s="2"/>
      <x:c r="R39" s="2"/>
      <x:c r="S39" s="2"/>
      <x:c r="T39" s="2"/>
    </x:row>
    <x:row r="40">
      <x:c r="C40" s="26" t="str">
        <x:v>Echelon Public</x:v>
      </x:c>
      <x:c r="D40" s="27" t="str">
        <x:v>Public Sector</x:v>
      </x:c>
      <x:c r="E40" s="28" t="n">
        <x:v>600000</x:v>
      </x:c>
      <x:c r="F40" s="28" t="n">
        <x:v>510000</x:v>
      </x:c>
      <x:c r="G40" s="30" t="n">
        <x:v>0.15</x:v>
      </x:c>
      <x:c r="H40" s="27" t="str">
        <x:v>Lost</x:v>
      </x:c>
      <x:c r="I40" s="27" t="n">
        <x:v>160</x:v>
      </x:c>
      <x:c r="J40" s="27" t="n">
        <x:v>2</x:v>
      </x:c>
      <x:c r="K40" s="31" t="n">
        <x:v>0.45</x:v>
      </x:c>
      <x:c r="L40" s="2"/>
      <x:c r="M40" s="2"/>
      <x:c r="N40" s="2"/>
      <x:c r="O40" s="2"/>
      <x:c r="P40" s="2"/>
      <x:c r="Q40" s="2"/>
      <x:c r="R40" s="2"/>
      <x:c r="S40" s="2"/>
      <x:c r="T40" s="2"/>
    </x:row>
    <x:row r="41">
      <x:c r="C41" s="26" t="str">
        <x:v>Flux Labs</x:v>
      </x:c>
      <x:c r="D41" s="27" t="str">
        <x:v>Digital Native</x:v>
      </x:c>
      <x:c r="E41" s="28" t="n">
        <x:v>300000</x:v>
      </x:c>
      <x:c r="F41" s="28" t="n">
        <x:v>270000</x:v>
      </x:c>
      <x:c r="G41" s="30" t="n">
        <x:v>0.1</x:v>
      </x:c>
      <x:c r="H41" s="27" t="str">
        <x:v>Won</x:v>
      </x:c>
      <x:c r="I41" s="27" t="n">
        <x:v>62</x:v>
      </x:c>
      <x:c r="J41" s="27" t="n">
        <x:v>2</x:v>
      </x:c>
      <x:c r="K41" s="31" t="n">
        <x:v>0.61</x:v>
      </x:c>
      <x:c r="L41" s="2"/>
      <x:c r="M41" s="2"/>
      <x:c r="N41" s="2"/>
      <x:c r="O41" s="2"/>
      <x:c r="P41" s="2"/>
      <x:c r="Q41" s="2"/>
      <x:c r="R41" s="2"/>
      <x:c r="S41" s="2"/>
      <x:c r="T41" s="2"/>
    </x:row>
    <x:row r="42">
      <x:c r="C42" s="26" t="str">
        <x:v>Garnet Systems</x:v>
      </x:c>
      <x:c r="D42" s="27" t="str">
        <x:v>Enterprise</x:v>
      </x:c>
      <x:c r="E42" s="28" t="n">
        <x:v>380000</x:v>
      </x:c>
      <x:c r="F42" s="28" t="n">
        <x:v>342000</x:v>
      </x:c>
      <x:c r="G42" s="30" t="n">
        <x:v>0.1</x:v>
      </x:c>
      <x:c r="H42" s="27" t="str">
        <x:v>Lost</x:v>
      </x:c>
      <x:c r="I42" s="27" t="n">
        <x:v>88</x:v>
      </x:c>
      <x:c r="J42" s="27" t="n">
        <x:v>1</x:v>
      </x:c>
      <x:c r="K42" s="31" t="n">
        <x:v>0.44</x:v>
      </x:c>
      <x:c r="L42" s="2"/>
      <x:c r="M42" s="2"/>
      <x:c r="N42" s="2"/>
      <x:c r="O42" s="2"/>
      <x:c r="P42" s="2"/>
      <x:c r="Q42" s="2"/>
      <x:c r="R42" s="2"/>
      <x:c r="S42" s="2"/>
      <x:c r="T42" s="2"/>
    </x:row>
    <x:row r="43">
      <x:c r="C43" s="32" t="str">
        <x:v>Helix Labs</x:v>
      </x:c>
      <x:c r="D43" s="33" t="str">
        <x:v>Digital Native</x:v>
      </x:c>
      <x:c r="E43" s="34" t="n">
        <x:v>260000</x:v>
      </x:c>
      <x:c r="F43" s="34" t="n">
        <x:v>247000</x:v>
      </x:c>
      <x:c r="G43" s="36" t="n">
        <x:v>0.05</x:v>
      </x:c>
      <x:c r="H43" s="33" t="str">
        <x:v>Won</x:v>
      </x:c>
      <x:c r="I43" s="33" t="n">
        <x:v>54</x:v>
      </x:c>
      <x:c r="J43" s="33" t="n">
        <x:v>2</x:v>
      </x:c>
      <x:c r="K43" s="37" t="n">
        <x:v>0.67</x:v>
      </x:c>
      <x:c r="L43" s="2"/>
      <x:c r="M43" s="2"/>
      <x:c r="N43" s="2"/>
      <x:c r="O43" s="2"/>
      <x:c r="P43" s="2"/>
      <x:c r="Q43" s="2"/>
      <x:c r="R43" s="2"/>
      <x:c r="S43" s="2"/>
      <x:c r="T43" s="2"/>
    </x:row>
    <x:row r="44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</x:sheetData>
  <x:conditionalFormatting sqref="F12:F12">
    <x:cfRule type="cellIs" dxfId="2" priority="1" operator="greaterThan">
      <x:formula>0.15</x:formula>
    </x:cfRule>
  </x:conditionalFormatting>
  <x:conditionalFormatting sqref="Q14:Q16">
    <x:cfRule type="colorScale" priority="2">
      <x:colorScale>
        <x:cfvo type="min"/>
        <x:cfvo type="percentile" val="50"/>
        <x:cfvo type="max"/>
        <x:color rgb="FFE2F0D9"/>
        <x:color rgb="FFFFF2CC"/>
        <x:color rgb="FFFCE8E6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9DAF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3" max="3" width="38" hidden="0" customWidth="1"/>
    <x:col min="4" max="4" width="42" hidden="0" customWidth="1"/>
    <x:col min="5" max="5" width="24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7" hidden="0" customWidth="1"/>
    <x:col min="11" max="11" width="17" hidden="0" customWidth="1"/>
    <x:col min="12" max="12" width="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C2" s="3" t="str">
        <x:v>Pricing assumptions and guardrails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C4" s="6" t="str">
        <x:v>All figures, customers, packages, probabilities, margins, and performance data are synthetic. Replace the assumptions and research context before each interview.</x:v>
      </x:c>
      <x:c r="D4" s="6"/>
      <x:c r="E4" s="6"/>
      <x:c r="F4" s="6"/>
      <x:c r="G4" s="6"/>
      <x:c r="H4" s="6"/>
      <x:c r="I4" s="6"/>
      <x:c r="J4" s="6"/>
      <x:c r="K4" s="6"/>
      <x:c r="L4" s="6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C6" s="9" t="str">
        <x:v>Package defaults</x:v>
      </x:c>
      <x:c r="D6" s="10"/>
      <x:c r="E6" s="10"/>
      <x:c r="F6" s="10"/>
      <x:c r="G6" s="10"/>
      <x:c r="H6" s="10"/>
      <x:c r="I6" s="10"/>
      <x:c r="J6" s="10"/>
      <x:c r="K6" s="11"/>
      <x:c r="L6" s="2"/>
    </x:row>
    <x:row r="7">
      <x:c r="C7" s="16" t="str">
        <x:v>Key</x:v>
      </x:c>
      <x:c r="D7" s="16" t="str">
        <x:v>Segment</x:v>
      </x:c>
      <x:c r="E7" s="16" t="str">
        <x:v>Package</x:v>
      </x:c>
      <x:c r="F7" s="16" t="str">
        <x:v>Annual platform fee</x:v>
      </x:c>
      <x:c r="G7" s="16" t="str">
        <x:v>Annual fee per seat</x:v>
      </x:c>
      <x:c r="H7" s="16" t="str">
        <x:v>Included usage units (M)</x:v>
      </x:c>
      <x:c r="I7" s="16" t="str">
        <x:v>Overage per usage unit (M)</x:v>
      </x:c>
      <x:c r="J7" s="16" t="str">
        <x:v>Delivery COGS</x:v>
      </x:c>
      <x:c r="K7" s="16" t="str">
        <x:v>Baseline win probability</x:v>
      </x:c>
      <x:c r="L7" s="2"/>
    </x:row>
    <x:row r="8">
      <x:c r="C8" s="38" t="str">
        <x:v>Enterprise|Core</x:v>
      </x:c>
      <x:c r="D8" s="39" t="str">
        <x:v>Enterprise</x:v>
      </x:c>
      <x:c r="E8" s="39" t="str">
        <x:v>Core</x:v>
      </x:c>
      <x:c r="F8" s="40" t="n">
        <x:v>240000</x:v>
      </x:c>
      <x:c r="G8" s="40" t="n">
        <x:v>8000</x:v>
      </x:c>
      <x:c r="H8" s="41" t="n">
        <x:v>30</x:v>
      </x:c>
      <x:c r="I8" s="40" t="n">
        <x:v>1200</x:v>
      </x:c>
      <x:c r="J8" s="42" t="n">
        <x:v>0.18</x:v>
      </x:c>
      <x:c r="K8" s="43" t="n">
        <x:v>0.45</x:v>
      </x:c>
      <x:c r="L8" s="2"/>
    </x:row>
    <x:row r="9">
      <x:c r="C9" s="44" t="str">
        <x:v>Enterprise|Enterprise</x:v>
      </x:c>
      <x:c r="D9" s="45" t="str">
        <x:v>Enterprise</x:v>
      </x:c>
      <x:c r="E9" s="45" t="str">
        <x:v>Enterprise</x:v>
      </x:c>
      <x:c r="F9" s="46" t="n">
        <x:v>420000</x:v>
      </x:c>
      <x:c r="G9" s="46" t="n">
        <x:v>9500</x:v>
      </x:c>
      <x:c r="H9" s="47" t="n">
        <x:v>100</x:v>
      </x:c>
      <x:c r="I9" s="46" t="n">
        <x:v>900</x:v>
      </x:c>
      <x:c r="J9" s="48" t="n">
        <x:v>0.19</x:v>
      </x:c>
      <x:c r="K9" s="49" t="n">
        <x:v>0.52</x:v>
      </x:c>
      <x:c r="L9" s="2"/>
    </x:row>
    <x:row r="10">
      <x:c r="C10" s="44" t="str">
        <x:v>Public Sector|Workflow</x:v>
      </x:c>
      <x:c r="D10" s="45" t="str">
        <x:v>Public Sector</x:v>
      </x:c>
      <x:c r="E10" s="45" t="str">
        <x:v>Workflow</x:v>
      </x:c>
      <x:c r="F10" s="46" t="n">
        <x:v>360000</x:v>
      </x:c>
      <x:c r="G10" s="46" t="n">
        <x:v>11000</x:v>
      </x:c>
      <x:c r="H10" s="47" t="n">
        <x:v>12</x:v>
      </x:c>
      <x:c r="I10" s="46" t="n">
        <x:v>2500</x:v>
      </x:c>
      <x:c r="J10" s="48" t="n">
        <x:v>0.22</x:v>
      </x:c>
      <x:c r="K10" s="49" t="n">
        <x:v>0.55</x:v>
      </x:c>
      <x:c r="L10" s="2"/>
    </x:row>
    <x:row r="11">
      <x:c r="C11" s="44" t="str">
        <x:v>Public Sector|Enterprise</x:v>
      </x:c>
      <x:c r="D11" s="45" t="str">
        <x:v>Public Sector</x:v>
      </x:c>
      <x:c r="E11" s="45" t="str">
        <x:v>Enterprise</x:v>
      </x:c>
      <x:c r="F11" s="46" t="n">
        <x:v>520000</x:v>
      </x:c>
      <x:c r="G11" s="46" t="n">
        <x:v>12000</x:v>
      </x:c>
      <x:c r="H11" s="47" t="n">
        <x:v>40</x:v>
      </x:c>
      <x:c r="I11" s="46" t="n">
        <x:v>1800</x:v>
      </x:c>
      <x:c r="J11" s="48" t="n">
        <x:v>0.23</x:v>
      </x:c>
      <x:c r="K11" s="49" t="n">
        <x:v>0.58</x:v>
      </x:c>
      <x:c r="L11" s="2"/>
    </x:row>
    <x:row r="12">
      <x:c r="C12" s="44" t="str">
        <x:v>Digital Native|Core</x:v>
      </x:c>
      <x:c r="D12" s="45" t="str">
        <x:v>Digital Native</x:v>
      </x:c>
      <x:c r="E12" s="45" t="str">
        <x:v>Core</x:v>
      </x:c>
      <x:c r="F12" s="46" t="n">
        <x:v>180000</x:v>
      </x:c>
      <x:c r="G12" s="46" t="n">
        <x:v>6500</x:v>
      </x:c>
      <x:c r="H12" s="47" t="n">
        <x:v>60</x:v>
      </x:c>
      <x:c r="I12" s="46" t="n">
        <x:v>750</x:v>
      </x:c>
      <x:c r="J12" s="48" t="n">
        <x:v>0.2</x:v>
      </x:c>
      <x:c r="K12" s="49" t="n">
        <x:v>0.52</x:v>
      </x:c>
      <x:c r="L12" s="2"/>
    </x:row>
    <x:row r="13">
      <x:c r="C13" s="50" t="str">
        <x:v>Digital Native|Enterprise</x:v>
      </x:c>
      <x:c r="D13" s="51" t="str">
        <x:v>Digital Native</x:v>
      </x:c>
      <x:c r="E13" s="51" t="str">
        <x:v>Enterprise</x:v>
      </x:c>
      <x:c r="F13" s="52" t="n">
        <x:v>300000</x:v>
      </x:c>
      <x:c r="G13" s="52" t="n">
        <x:v>8000</x:v>
      </x:c>
      <x:c r="H13" s="53" t="n">
        <x:v>150</x:v>
      </x:c>
      <x:c r="I13" s="52" t="n">
        <x:v>600</x:v>
      </x:c>
      <x:c r="J13" s="54" t="n">
        <x:v>0.21</x:v>
      </x:c>
      <x:c r="K13" s="55" t="n">
        <x:v>0.57</x:v>
      </x:c>
      <x:c r="L13" s="2"/>
    </x:row>
    <x:row r="14"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C15" s="9" t="str">
        <x:v>Deal desk guardrails</x:v>
      </x:c>
      <x:c r="D15" s="10"/>
      <x:c r="E15" s="10"/>
      <x:c r="F15" s="11"/>
      <x:c r="G15" s="2"/>
      <x:c r="H15" s="2"/>
      <x:c r="I15" s="2"/>
      <x:c r="J15" s="2"/>
      <x:c r="K15" s="2"/>
      <x:c r="L15" s="2"/>
    </x:row>
    <x:row r="16">
      <x:c r="C16" s="16" t="str">
        <x:v>Guardrail</x:v>
      </x:c>
      <x:c r="D16" s="16" t="str">
        <x:v>Value</x:v>
      </x:c>
      <x:c r="E16" s="16" t="str">
        <x:v>Unit</x:v>
      </x:c>
      <x:c r="F16" s="16" t="str">
        <x:v>Pricing rationale</x:v>
      </x:c>
      <x:c r="G16" s="2"/>
      <x:c r="H16" s="2"/>
      <x:c r="I16" s="2"/>
      <x:c r="J16" s="2"/>
      <x:c r="K16" s="2"/>
      <x:c r="L16" s="2"/>
    </x:row>
    <x:row r="17">
      <x:c r="C17" s="20" t="str">
        <x:v>Discount approval threshold</x:v>
      </x:c>
      <x:c r="D17" s="63" t="n">
        <x:v>0.2</x:v>
      </x:c>
      <x:c r="E17" s="21" t="str">
        <x:v>%</x:v>
      </x:c>
      <x:c r="F17" s="56" t="str">
        <x:v>Approval required above this recurring discount</x:v>
      </x:c>
      <x:c r="G17" s="2"/>
      <x:c r="H17" s="2"/>
      <x:c r="I17" s="2"/>
      <x:c r="J17" s="2"/>
      <x:c r="K17" s="2"/>
      <x:c r="L17" s="2"/>
    </x:row>
    <x:row r="18">
      <x:c r="C18" s="26" t="str">
        <x:v>Target gross margin</x:v>
      </x:c>
      <x:c r="D18" s="64" t="n">
        <x:v>0.75</x:v>
      </x:c>
      <x:c r="E18" s="27" t="str">
        <x:v>%</x:v>
      </x:c>
      <x:c r="F18" s="57" t="str">
        <x:v>Preferred portfolio-level economics</x:v>
      </x:c>
      <x:c r="G18" s="2"/>
      <x:c r="H18" s="2"/>
      <x:c r="I18" s="2"/>
      <x:c r="J18" s="2"/>
      <x:c r="K18" s="2"/>
      <x:c r="L18" s="2"/>
    </x:row>
    <x:row r="19">
      <x:c r="C19" s="26" t="str">
        <x:v>Gross margin floor</x:v>
      </x:c>
      <x:c r="D19" s="64" t="n">
        <x:v>0.7</x:v>
      </x:c>
      <x:c r="E19" s="27" t="str">
        <x:v>%</x:v>
      </x:c>
      <x:c r="F19" s="57" t="str">
        <x:v>Finance review below this floor</x:v>
      </x:c>
      <x:c r="G19" s="2"/>
      <x:c r="H19" s="2"/>
      <x:c r="I19" s="2"/>
      <x:c r="J19" s="2"/>
      <x:c r="K19" s="2"/>
      <x:c r="L19" s="2"/>
    </x:row>
    <x:row r="20">
      <x:c r="C20" s="26" t="str">
        <x:v>Discount requiring a trade</x:v>
      </x:c>
      <x:c r="D20" s="64" t="n">
        <x:v>0.15</x:v>
      </x:c>
      <x:c r="E20" s="27" t="str">
        <x:v>%</x:v>
      </x:c>
      <x:c r="F20" s="57" t="str">
        <x:v>Trade discount for term, commitment, or prepay</x:v>
      </x:c>
      <x:c r="G20" s="2"/>
      <x:c r="H20" s="2"/>
      <x:c r="I20" s="2"/>
      <x:c r="J20" s="2"/>
      <x:c r="K20" s="2"/>
      <x:c r="L20" s="2"/>
    </x:row>
    <x:row r="21">
      <x:c r="C21" s="26" t="str">
        <x:v>Minimum term above trade threshold</x:v>
      </x:c>
      <x:c r="D21" s="65" t="n">
        <x:v>24</x:v>
      </x:c>
      <x:c r="E21" s="27" t="str">
        <x:v>months</x:v>
      </x:c>
      <x:c r="F21" s="57" t="str">
        <x:v>Longer commitment offsets price reduction</x:v>
      </x:c>
      <x:c r="G21" s="2"/>
      <x:c r="H21" s="2"/>
      <x:c r="I21" s="2"/>
      <x:c r="J21" s="2"/>
      <x:c r="K21" s="2"/>
      <x:c r="L21" s="2"/>
    </x:row>
    <x:row r="22">
      <x:c r="C22" s="26" t="str">
        <x:v>Required cadence above trade threshold</x:v>
      </x:c>
      <x:c r="D22" s="65" t="str">
        <x:v>Annual prepay</x:v>
      </x:c>
      <x:c r="E22" s="27" t="str">
        <x:v>cadence</x:v>
      </x:c>
      <x:c r="F22" s="57" t="str">
        <x:v>Improves cash and reduces collection risk</x:v>
      </x:c>
      <x:c r="G22" s="2"/>
      <x:c r="H22" s="2"/>
      <x:c r="I22" s="2"/>
      <x:c r="J22" s="2"/>
      <x:c r="K22" s="2"/>
      <x:c r="L22" s="2"/>
    </x:row>
    <x:row r="23">
      <x:c r="C23" s="26" t="str">
        <x:v>Services COGS</x:v>
      </x:c>
      <x:c r="D23" s="64" t="n">
        <x:v>0.4</x:v>
      </x:c>
      <x:c r="E23" s="27" t="str">
        <x:v>%</x:v>
      </x:c>
      <x:c r="F23" s="57" t="str">
        <x:v>Illustrative implementation and training delivery cost</x:v>
      </x:c>
      <x:c r="G23" s="2"/>
      <x:c r="H23" s="2"/>
      <x:c r="I23" s="2"/>
      <x:c r="J23" s="2"/>
      <x:c r="K23" s="2"/>
      <x:c r="L23" s="2"/>
    </x:row>
    <x:row r="24">
      <x:c r="C24" s="26" t="str">
        <x:v>Maximum initial legacy renewal increase</x:v>
      </x:c>
      <x:c r="D24" s="64" t="n">
        <x:v>0.2</x:v>
      </x:c>
      <x:c r="E24" s="27" t="str">
        <x:v>%</x:v>
      </x:c>
      <x:c r="F24" s="57" t="str">
        <x:v>Stage larger corrections to reduce churn risk</x:v>
      </x:c>
      <x:c r="G24" s="2"/>
      <x:c r="H24" s="2"/>
      <x:c r="I24" s="2"/>
      <x:c r="J24" s="2"/>
      <x:c r="K24" s="2"/>
      <x:c r="L24" s="2"/>
    </x:row>
    <x:row r="25">
      <x:c r="C25" s="32" t="str">
        <x:v>Maximum modeled term</x:v>
      </x:c>
      <x:c r="D25" s="66" t="n">
        <x:v>36</x:v>
      </x:c>
      <x:c r="E25" s="33" t="str">
        <x:v>months</x:v>
      </x:c>
      <x:c r="F25" s="58" t="str">
        <x:v>Quote builder models up to three years</x:v>
      </x:c>
      <x:c r="G25" s="2"/>
      <x:c r="H25" s="2"/>
      <x:c r="I25" s="2"/>
      <x:c r="J25" s="2"/>
      <x:c r="K25" s="2"/>
      <x:c r="L25" s="2"/>
    </x:row>
    <x:row r="26"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C27" s="9" t="str">
        <x:v>Interview research checklist</x:v>
      </x:c>
      <x:c r="D27" s="10"/>
      <x:c r="E27" s="10"/>
      <x:c r="F27" s="11"/>
      <x:c r="G27" s="2"/>
      <x:c r="H27" s="2"/>
      <x:c r="I27" s="2"/>
      <x:c r="J27" s="2"/>
      <x:c r="K27" s="2"/>
      <x:c r="L27" s="2"/>
    </x:row>
    <x:row r="28">
      <x:c r="C28" s="16" t="str">
        <x:v>Source</x:v>
      </x:c>
      <x:c r="D28" s="16" t="str">
        <x:v>URL</x:v>
      </x:c>
      <x:c r="E28" s="16" t="str">
        <x:v>Use in this model</x:v>
      </x:c>
      <x:c r="F28" s="16" t="str">
        <x:v>Status</x:v>
      </x:c>
      <x:c r="G28" s="2"/>
      <x:c r="H28" s="2"/>
      <x:c r="I28" s="2"/>
      <x:c r="J28" s="2"/>
      <x:c r="K28" s="2"/>
      <x:c r="L28" s="2"/>
    </x:row>
    <x:row r="29" ht="32" customHeight="1">
      <x:c r="C29" s="20" t="str">
        <x:v>Company overview</x:v>
      </x:c>
      <x:c r="D29" s="68" t="str"/>
      <x:c r="E29" s="69" t="str">
        <x:v>Business model and segment context</x:v>
      </x:c>
      <x:c r="F29" s="56" t="str">
        <x:v>UNSOURCED</x:v>
      </x:c>
      <x:c r="G29" s="2"/>
      <x:c r="H29" s="2"/>
      <x:c r="I29" s="2"/>
      <x:c r="J29" s="2"/>
      <x:c r="K29" s="2"/>
      <x:c r="L29" s="2"/>
    </x:row>
    <x:row r="30" ht="32" customHeight="1">
      <x:c r="C30" s="26" t="str">
        <x:v>Product pages</x:v>
      </x:c>
      <x:c r="D30" s="65" t="str"/>
      <x:c r="E30" s="70" t="str">
        <x:v>Package and value-metric hypotheses</x:v>
      </x:c>
      <x:c r="F30" s="57" t="str">
        <x:v>UNSOURCED</x:v>
      </x:c>
      <x:c r="G30" s="2"/>
      <x:c r="H30" s="2"/>
      <x:c r="I30" s="2"/>
      <x:c r="J30" s="2"/>
      <x:c r="K30" s="2"/>
      <x:c r="L30" s="2"/>
    </x:row>
    <x:row r="31" ht="32" customHeight="1">
      <x:c r="C31" s="26" t="str">
        <x:v>Pricing or procurement signals</x:v>
      </x:c>
      <x:c r="D31" s="65" t="str"/>
      <x:c r="E31" s="70" t="str">
        <x:v>Public packaging and buying constraints</x:v>
      </x:c>
      <x:c r="F31" s="57" t="str">
        <x:v>UNSOURCED</x:v>
      </x:c>
      <x:c r="G31" s="2"/>
      <x:c r="H31" s="2"/>
      <x:c r="I31" s="2"/>
      <x:c r="J31" s="2"/>
      <x:c r="K31" s="2"/>
      <x:c r="L31" s="2"/>
    </x:row>
    <x:row r="32" ht="32" customHeight="1">
      <x:c r="C32" s="26" t="str">
        <x:v>Customer evidence</x:v>
      </x:c>
      <x:c r="D32" s="65" t="str"/>
      <x:c r="E32" s="70" t="str">
        <x:v>Value realization and adoption drivers</x:v>
      </x:c>
      <x:c r="F32" s="57" t="str">
        <x:v>UNSOURCED</x:v>
      </x:c>
      <x:c r="G32" s="2"/>
      <x:c r="H32" s="2"/>
      <x:c r="I32" s="2"/>
      <x:c r="J32" s="2"/>
      <x:c r="K32" s="2"/>
      <x:c r="L32" s="2"/>
    </x:row>
    <x:row r="33" ht="32" customHeight="1">
      <x:c r="C33" s="32" t="str">
        <x:v>Recent investor / research material</x:v>
      </x:c>
      <x:c r="D33" s="66" t="str"/>
      <x:c r="E33" s="71" t="str">
        <x:v>Current strategy and growth context</x:v>
      </x:c>
      <x:c r="F33" s="58" t="str">
        <x:v>UNSOURCED</x:v>
      </x:c>
      <x:c r="G33" s="2"/>
      <x:c r="H33" s="2"/>
      <x:c r="I33" s="2"/>
      <x:c r="J33" s="2"/>
      <x:c r="K33" s="2"/>
      <x:c r="L33" s="2"/>
    </x:row>
    <x:row r="34"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0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C2" s="3" t="str">
        <x:v>Quote log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C4" s="5" t="str">
        <x:v>The Apps Script in GitHub appends a snapshot of the active quote here. The first row is a synthetic demonstration record.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C6" s="16" t="str">
        <x:v>Timestamp</x:v>
      </x:c>
      <x:c r="D6" s="16" t="str">
        <x:v>Owner</x:v>
      </x:c>
      <x:c r="E6" s="16" t="str">
        <x:v>Customer</x:v>
      </x:c>
      <x:c r="F6" s="16" t="str">
        <x:v>Segment</x:v>
      </x:c>
      <x:c r="G6" s="16" t="str">
        <x:v>Package</x:v>
      </x:c>
      <x:c r="H6" s="16" t="str">
        <x:v>Term</x:v>
      </x:c>
      <x:c r="I6" s="16" t="str">
        <x:v>Payment cadence</x:v>
      </x:c>
      <x:c r="J6" s="16" t="str">
        <x:v>List ACV</x:v>
      </x:c>
      <x:c r="K6" s="16" t="str">
        <x:v>Net ACV</x:v>
      </x:c>
      <x:c r="L6" s="16" t="str">
        <x:v>Discount</x:v>
      </x:c>
      <x:c r="M6" s="16" t="str">
        <x:v>Gross margin</x:v>
      </x:c>
      <x:c r="N6" s="16" t="str">
        <x:v>Modeled contract value</x:v>
      </x:c>
      <x:c r="O6" s="16" t="str">
        <x:v>Expected contract value</x:v>
      </x:c>
      <x:c r="P6" s="16" t="str">
        <x:v>Approval status</x:v>
      </x:c>
    </x:row>
    <x:row r="7">
      <x:c r="C7" s="134" t="n">
        <x:v>46277.375</x:v>
      </x:c>
      <x:c r="D7" s="135" t="str">
        <x:v>Demo</x:v>
      </x:c>
      <x:c r="E7" s="135" t="str">
        <x:v>Example Customer</x:v>
      </x:c>
      <x:c r="F7" s="135" t="str">
        <x:v>Enterprise</x:v>
      </x:c>
      <x:c r="G7" s="135" t="str">
        <x:v>Core</x:v>
      </x:c>
      <x:c r="H7" s="135" t="n">
        <x:v>36</x:v>
      </x:c>
      <x:c r="I7" s="135" t="str">
        <x:v>Annual prepay</x:v>
      </x:c>
      <x:c r="J7" s="136" t="n">
        <x:v>414000</x:v>
      </x:c>
      <x:c r="K7" s="136" t="n">
        <x:v>351900</x:v>
      </x:c>
      <x:c r="L7" s="137" t="n">
        <x:v>0.15</x:v>
      </x:c>
      <x:c r="M7" s="137" t="n">
        <x:v>0.7879</x:v>
      </x:c>
      <x:c r="N7" s="136" t="n">
        <x:v>1161281.25</x:v>
      </x:c>
      <x:c r="O7" s="136" t="n">
        <x:v>719994.38</x:v>
      </x:c>
      <x:c r="P7" s="138" t="str">
        <x:v>Within guardrails</x:v>
      </x:c>
    </x:row>
    <x:row r="8"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</x:sheetData>
  <x:pageMargins left="0.7" right="0.7" top="0.75" bottom="0.75" header="0.3" footer="0.3"/>
</x:worksheet>
</file>